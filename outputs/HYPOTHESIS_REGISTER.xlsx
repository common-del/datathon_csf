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ypotheses" sheetId="1" state="visible" r:id="rId3"/>
    <sheet name="Summary" sheetId="2" state="visible" r:id="rId4"/>
    <sheet name="How to read this" sheetId="3" state="visible" r:id="rId5"/>
  </sheets>
  <definedNames>
    <definedName function="false" hidden="true" localSheetId="0" name="_xlnm._FilterDatabase" vbProcedure="false">Hypotheses!$A$1:$L$37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<sst xmlns="http://schemas.openxmlformats.org/spreadsheetml/2006/main" count="486" uniqueCount="373">
  <si>
    <t xml:space="preserve">ID</t>
  </si>
  <si>
    <t xml:space="preserve">Theme</t>
  </si>
  <si>
    <t xml:space="preserve">Plain-English question</t>
  </si>
  <si>
    <t xml:space="preserve">Formal hypothesis (as tested)</t>
  </si>
  <si>
    <t xml:space="preserve">Methodology</t>
  </si>
  <si>
    <t xml:space="preserve">Finding (numbers)</t>
  </si>
  <si>
    <t xml:space="preserve">Verdict</t>
  </si>
  <si>
    <t xml:space="preserve">Assumptions and caveats</t>
  </si>
  <si>
    <t xml:space="preserve">What would break this</t>
  </si>
  <si>
    <t xml:space="preserve">Policy meaning</t>
  </si>
  <si>
    <t xml:space="preserve">Where used</t>
  </si>
  <si>
    <t xml:space="preserve">Source script</t>
  </si>
  <si>
    <t xml:space="preserve">EH1</t>
  </si>
  <si>
    <t xml:space="preserve">1. Is the grade 6 decline real?</t>
  </si>
  <si>
    <t xml:space="preserve">Does the grade 6 collapse survive if we only look at places that took part every year?</t>
  </si>
  <si>
    <t xml:space="preserve">G6 multiplicative decline survives inside a constant-GP panel (same GPs all 3 years)</t>
  </si>
  <si>
    <t xml:space="preserve">Kept only the Gram Panchayats that fielded at least 10 grade 6 children in all three years (2,182 GPs). Compared their 2022-23 and 2024-25 competency scores, student-weighted. If new weaker places caused the fall, it should shrink or vanish here.</t>
  </si>
  <si>
    <t xml:space="preserve">panel (k=2182 GPs): mult 50.5-&gt;30.8 (-19.7pp vs raw -15.8pp, 125% persists); div 54.5-&gt;32.5 (-22.0pp vs raw -17.4pp, 127% persists)</t>
  </si>
  <si>
    <t xml:space="preserve">SUPPORTED</t>
  </si>
  <si>
    <t xml:space="preserve">Panel GPs are early joiners, so better organised on average. That bias would flatter the trend, not worsen it. Items change yearly, so comparison is at competency level. || Pipeline caveat: items change each year; competency-level comparison assumes similar within-competency difficulty; panel GPs are earlier joiners, not a random subset</t>
  </si>
  <si>
    <t xml:space="preserve">If the 2,182 panel GPs were unrepresentative in a way that inflates decline, e.g. all from one collapsing region. Check: rerun by revenue division.</t>
  </si>
  <si>
    <t xml:space="preserve">If it survives, the G6 collapse is real deterioration, not new-GP composition; remediation, not measurement, is the response.</t>
  </si>
  <si>
    <t xml:space="preserve">Report 4.0 (lead finding) | Slide 4 | Policy note para 1</t>
  </si>
  <si>
    <t xml:space="preserve">src/extra_hypotheses.py</t>
  </si>
  <si>
    <t xml:space="preserve">EH3</t>
  </si>
  <si>
    <t xml:space="preserve">Does the decline show up in districts where coverage barely moved?</t>
  </si>
  <si>
    <t xml:space="preserve">G6 decline present even in districts whose coverage changed least</t>
  </si>
  <si>
    <t xml:space="preserve">Ranked districts by absolute change in coverage 2022-23 to 2024-25, took the bottom third (8 districts, mean change 3.9pp), and measured their grade 6 competency change.</t>
  </si>
  <si>
    <t xml:space="preserve">bottom-tercile |d_cov| (8 districts, mean |d_cov|=3.9pp): mult -18.7pp, div -21.4pp (all-district: -20.1/-22.6)</t>
  </si>
  <si>
    <t xml:space="preserve">Unweighted district means. District-level coverage stability does not guarantee stability of reach within the district. || Pipeline caveat: coverage change is district-level; within-district reach can still shift</t>
  </si>
  <si>
    <t xml:space="preserve">Only 8 districts, so noisy. But EH1 and EH6 use different logic and land in the same range.</t>
  </si>
  <si>
    <t xml:space="preserve">Decline without a coverage story in these districts undercuts the pure-selection explanation.</t>
  </si>
  <si>
    <t xml:space="preserve">Report 4.0 | Slide 4</t>
  </si>
  <si>
    <t xml:space="preserve">EH5</t>
  </si>
  <si>
    <t xml:space="preserve">If you statistically remove coverage change, how much decline is left?</t>
  </si>
  <si>
    <t xml:space="preserve">A G6 multiplication decline remains after controlling district coverage change</t>
  </si>
  <si>
    <t xml:space="preserve">District-level OLS: regressed change in grade 6 multiplication on change in coverage, then read the intercept, i.e. the predicted decline for a district whose coverage did not move.</t>
  </si>
  <si>
    <t xml:space="preserve">regression d(mult) = -19.32 -0.03*d_cov (n=25); predicted decline at zero coverage change: -19.3pp (raw mean -20.1pp, sd 4.1)</t>
  </si>
  <si>
    <t xml:space="preserve">Linear control only, at district level. Selection happening school by school inside a district is invisible to this test. || Pipeline caveat: linear control only; unmeasured within-district selection can remain</t>
  </si>
  <si>
    <t xml:space="preserve">A strongly non-linear coverage effect. EH1 handles the within-district case a different way.</t>
  </si>
  <si>
    <t xml:space="preserve">The coverage-free decline estimate is the honest headline number for the G6 collapse.</t>
  </si>
  <si>
    <t xml:space="preserve">Report 4.0 | claims.json claim-eh5-intercept</t>
  </si>
  <si>
    <t xml:space="preserve">EH6</t>
  </si>
  <si>
    <t xml:space="preserve">Does the decline appear in districts that were already deeply covered from the start?</t>
  </si>
  <si>
    <t xml:space="preserve">G6 decline appears even in districts already deeply covered in 2022-23 (&gt;=40%)</t>
  </si>
  <si>
    <t xml:space="preserve">Selected the 11 districts already at 40% coverage or higher in 2022-23. These had least room for composition to dilute the average, since most eligible children were already in.</t>
  </si>
  <si>
    <t xml:space="preserve">11 districts with 2022-23 coverage &gt;=40%: mult -19.8pp, div -21.7pp</t>
  </si>
  <si>
    <t xml:space="preserve">Small n. Deep-start districts may differ in administrative capacity or geography. || Pipeline caveat: small n; deep-start districts may differ in other ways</t>
  </si>
  <si>
    <t xml:space="preserve">If deep-start districts share a confound that drives decline independently. Four designs now agree within 18-22pp.</t>
  </si>
  <si>
    <t xml:space="preserve">Same conclusion as EH1 by a different route; two independent designs agreeing is strong evidence.</t>
  </si>
  <si>
    <t xml:space="preserve">EH2</t>
  </si>
  <si>
    <t xml:space="preserve">Does the one piece of good news, grade 4 division improving, also survive?</t>
  </si>
  <si>
    <t xml:space="preserve">G4 division improvement survives inside the constant-GP panel</t>
  </si>
  <si>
    <t xml:space="preserve">Identical constant-GP panel construction as EH1, applied to grade 4 division (2,278 GPs).</t>
  </si>
  <si>
    <t xml:space="preserve">panel (k=2278 GPs): G4 div 39.0-&gt;38.4 (-0.6pp vs raw +5.6pp)</t>
  </si>
  <si>
    <t xml:space="preserve">DISCARD</t>
  </si>
  <si>
    <t xml:space="preserve">Same panel caveats as EH1. The raw gain and the panel result use the same competency mapping. || Pipeline caveat: items change each year; competency-level comparison assumes similar within-competency difficulty</t>
  </si>
  <si>
    <t xml:space="preserve">Nothing visible. Two panels built identically gave opposite answers about their own headlines, which is the test working.</t>
  </si>
  <si>
    <t xml:space="preserve">A real G4 gain alongside a real G6 loss points at the upper-primary transition, not at a cohort-wide shock.</t>
  </si>
  <si>
    <t xml:space="preserve">Report 4.0 and section 5 | Slide 4 | Killed our own good news</t>
  </si>
  <si>
    <t xml:space="preserve">EH4</t>
  </si>
  <si>
    <t xml:space="preserve">Do the districts that expanded coverage most show the biggest score falls?</t>
  </si>
  <si>
    <t xml:space="preserve">Districts that widened coverage most saw scores fall most (selection story)</t>
  </si>
  <si>
    <t xml:space="preserve">Correlated each district's change in coverage against its change in mean score, 2022-23 to 2024-25, rural State Government basis on both sides. This is the selection story's own preferred test.</t>
  </si>
  <si>
    <t xml:space="preserve">r=-0.18 (p=0.396, n=25 districts); slope -0.33pp score per +10pp coverage</t>
  </si>
  <si>
    <t xml:space="preserve">Ecological correlation at district level. Coverage growth also tracks administrative effort, which could push the other way. || Pipeline caveat: ecological correlation; district coverage growth also tracks admin effort</t>
  </si>
  <si>
    <t xml:space="preserve">Only 25 districts, so a small effect could hide. But we are asking whether it explains a 16pp fall, and it does not.</t>
  </si>
  <si>
    <t xml:space="preserve">If supported, part of the reported decline is the contest reaching weaker children, which is a participation success, not only a learning failure.</t>
  </si>
  <si>
    <t xml:space="preserve">Report 4.0 and section 5 | Slide 4 | Kills the selection story</t>
  </si>
  <si>
    <t xml:space="preserve">EH22</t>
  </si>
  <si>
    <t xml:space="preserve">Do the newly reached places actually have weaker children?</t>
  </si>
  <si>
    <t xml:space="preserve">GPs newly reached in 2024-25 score below veteran GPs (direct composition evidence)</t>
  </si>
  <si>
    <t xml:space="preserve">Identified the 655 GPs that first appear in 2024-25, compared their grade 6 mean against veteran GPs. This tests the unstated assumption the entire selection story rests on.</t>
  </si>
  <si>
    <t xml:space="preserve">new GPs (k=655, 16% of G6 students): mean 53.1 vs veteran GPs 48.6 (gap +4.6pp)</t>
  </si>
  <si>
    <t xml:space="preserve">New GPs may be smaller or may have sent only their strongest children on a first outing. Either way it is not evidence for the selection story. || Pipeline caveat: new GPs may differ in remoteness and size, not only preparedness</t>
  </si>
  <si>
    <t xml:space="preserve">First-outing selection within new GPs. Even so, the selection story requires new places to score lower, and they score higher.</t>
  </si>
  <si>
    <t xml:space="preserve">Quantifies exactly how much of the 'decline' is the contest finding weaker children. Pair with EH1 for the full story.</t>
  </si>
  <si>
    <t xml:space="preserve">Report 4.0 and section 5 | Selection story runs backwards</t>
  </si>
  <si>
    <t xml:space="preserve">H9</t>
  </si>
  <si>
    <t xml:space="preserve">Can we test who-got-tested bias by joining GP names to UDISE?</t>
  </si>
  <si>
    <t xml:space="preserve">Who-got-tested bias</t>
  </si>
  <si>
    <t xml:space="preserve">Attempted a GP-name join to UDISE enrolment to compare tested against enrolled children at GP level. An automatic reliability gate refused the join.</t>
  </si>
  <si>
    <t xml:space="preserve">join too thin</t>
  </si>
  <si>
    <t xml:space="preserve">GP names repeat across districts and the fuzzy match reached only 37%, below the 60% usable threshold. || Pipeline caveat: expected fuzziness materialised</t>
  </si>
  <si>
    <t xml:space="preserve">Not fixable with available data. We answered the same question better at district level, in EH1 to EH6 and EH22.</t>
  </si>
  <si>
    <t xml:space="preserve">Fall back to district-level coverage in the afternoon if time allows.</t>
  </si>
  <si>
    <t xml:space="preserve">Report 6b | Shows exactly where our data runs out</t>
  </si>
  <si>
    <t xml:space="preserve">src/day1_verdicts.py</t>
  </si>
  <si>
    <t xml:space="preserve">EH8</t>
  </si>
  <si>
    <t xml:space="preserve">2. Is the girls' lead real?</t>
  </si>
  <si>
    <t xml:space="preserve">Where more girls are tested than boys, is the girls' measured lead bigger?</t>
  </si>
  <si>
    <t xml:space="preserve">Where girls are over-assessed relative to boys, the girls' score lead is larger (participation, not learning)</t>
  </si>
  <si>
    <t xml:space="preserve">For each district-year, computed the girls-minus-boys gap in assessment coverage (verified UDISE rural State Govt denominator) and the girls-minus-boys gap in score, then correlated the two across 80 district-years.</t>
  </si>
  <si>
    <t xml:space="preserve">r=0.47 (p=1.14e-05, n=80 district-years) between (girls-boys coverage) and (girls-boys score)</t>
  </si>
  <si>
    <t xml:space="preserve">District-level. Selection happening within a school is unobserved. || Pipeline caveat: district-level; within-school selection unobserved</t>
  </si>
  <si>
    <t xml:space="preserve">Nothing. This finding cuts against us and we report it as a caution on district gender gaps.</t>
  </si>
  <si>
    <t xml:space="preserve">If near zero, the girls' lead looks like learning, not who showed up.</t>
  </si>
  <si>
    <t xml:space="preserve">Report 4.5 | Slide 7 | Forces coverage next to every district gender gap</t>
  </si>
  <si>
    <t xml:space="preserve">EH9</t>
  </si>
  <si>
    <t xml:space="preserve">Do girls still lead where boys and girls are tested at equal rates?</t>
  </si>
  <si>
    <t xml:space="preserve">Girls still lead in districts where boys and girls are assessed at near-equal rates (|coverage gap|&lt;=2pp)</t>
  </si>
  <si>
    <t xml:space="preserve">Restricted to the 25 district-years where the boy-girl coverage gap is within 2pp, then recomputed the score gap. If the lead is a participation mirage it should shrink here.</t>
  </si>
  <si>
    <t xml:space="preserve">balanced district-years (n=25): girls-boys score gap +3.57pp (all: +2.79pp)</t>
  </si>
  <si>
    <t xml:space="preserve">Balance is defined at district level on the verified UDISE denominator. It does not guarantee balance in every school. Sample shrinks under the filter. || Pipeline caveat: n shrinks under the balance filter</t>
  </si>
  <si>
    <t xml:space="preserve">If the 25 balanced district-years are systematically high-performing. Check: compare their mean score against the state mean.</t>
  </si>
  <si>
    <t xml:space="preserve">A gap that survives balance is a real learning lead; report it with Cohen's d, not p-values.</t>
  </si>
  <si>
    <t xml:space="preserve">Report 4.5 | Slide 7 | claims.json claim-eh9-genderbal</t>
  </si>
  <si>
    <t xml:space="preserve">EH10</t>
  </si>
  <si>
    <t xml:space="preserve">Is the girls' lead steady over time while coverage doubled?</t>
  </si>
  <si>
    <t xml:space="preserve">The girls' lead is stable across the three contest years despite coverage doubling</t>
  </si>
  <si>
    <t xml:space="preserve">Computed the mean district-level girls-minus-boys gap separately for each of the three years. A participation artefact should wobble as participation changes.</t>
  </si>
  <si>
    <t xml:space="preserve">girls-boys gap by year: 2022-23 +3.17pp, 2023-24 +2.55pp, 2024-25 +2.62pp</t>
  </si>
  <si>
    <t xml:space="preserve">Unweighted mean of district gaps. Items change yearly. || Pipeline caveat: items change each year; competency-level comparison assumes similar within-competency difficulty</t>
  </si>
  <si>
    <t xml:space="preserve">A coincidence where two opposing changes cancel out across three years. Unlikely.</t>
  </si>
  <si>
    <t xml:space="preserve">Stability across a doubling of reach argues the lead is not a participation artefact.</t>
  </si>
  <si>
    <t xml:space="preserve">Report 4.5 | Slide 7</t>
  </si>
  <si>
    <t xml:space="preserve">EH21</t>
  </si>
  <si>
    <t xml:space="preserve">Do any individual questions behave differently for boys and girls?</t>
  </si>
  <si>
    <t xml:space="preserve">A handful of items behave differently by gender (DIF screen)</t>
  </si>
  <si>
    <t xml:space="preserve">Screened all 180 item-year-grades for a raw girls-minus-boys gap of 5pp or more.</t>
  </si>
  <si>
    <t xml:space="preserve">5 of 180 item-year-grades with |girls-boys| &gt;= 5pp (mostly girls-favoured)</t>
  </si>
  <si>
    <t xml:space="preserve">WEAK</t>
  </si>
  <si>
    <t xml:space="preserve">Crude screen. Proper differential item functioning requires matching boys and girls on total score first. || Pipeline caveat: crude screen; proper DIF needs matching on total score</t>
  </si>
  <si>
    <t xml:space="preserve">The screen confuses genuine item bias with real ability differences. That is why we call it weak and only flag items for review.</t>
  </si>
  <si>
    <t xml:space="preserve">Flag for item review; do not over-read single items.</t>
  </si>
  <si>
    <t xml:space="preserve">Report section 5 | Flagged for Akshara's assessment team</t>
  </si>
  <si>
    <t xml:space="preserve">H13</t>
  </si>
  <si>
    <t xml:space="preserve">Do district-level gender gaps replicate in PARAKH RS 2024?</t>
  </si>
  <si>
    <t xml:space="preserve">District gender gaps replicate in PARAKH RS 2024</t>
  </si>
  <si>
    <t xml:space="preserve">Correlated our district girls-minus-boys gap against PARAKH's, and separately counted how often the two agree on direction.</t>
  </si>
  <si>
    <t xml:space="preserve">r=-0.15 (p=0.431); sign agreement 76% of 29 districts</t>
  </si>
  <si>
    <t xml:space="preserve">Both instruments are cross-sectional. PARAKH's district gender cells are small and rounded. || Pipeline caveat: both instruments are cross-sectional; agreement supports the pattern, not a cause</t>
  </si>
  <si>
    <t xml:space="preserve">District-level gender gaps are noisy in both datasets. We report the 76% direction agreement and the weak correlation together, and claim only the former.</t>
  </si>
  <si>
    <t xml:space="preserve">If SUPPORTED: one line that the gender pattern is not an artefact of our instrument.</t>
  </si>
  <si>
    <t xml:space="preserve">Report 4.8 | Reported with its own weakness attached</t>
  </si>
  <si>
    <t xml:space="preserve">H6</t>
  </si>
  <si>
    <t xml:space="preserve">Does the gender gap change as the maths gets harder?</t>
  </si>
  <si>
    <t xml:space="preserve">Gender gap changes as maths gets harder</t>
  </si>
  <si>
    <t xml:space="preserve">Split competencies into easiest and hardest thirds by overall mastery, then compared the girls-minus-boys gap in each tier and rank-correlated gap against difficulty.</t>
  </si>
  <si>
    <t xml:space="preserve">girls-minus-boys: +2.3 pp on easiest tier vs +2.6 pp on hardest (rank r=-0.01, p=0.979)</t>
  </si>
  <si>
    <t xml:space="preserve">Tier boundaries are a third-and-third split of 11 competencies, so each tier is small. || Pipeline caveat: if the competency map was inferred rather than official, say so on the slide</t>
  </si>
  <si>
    <t xml:space="preserve">Nothing. The gap is flat across difficulty (+2.3 vs +2.6). The stereotype is not in this data.</t>
  </si>
  <si>
    <t xml:space="preserve">Do not present a flip; report the flat overall gap with effect size instead.</t>
  </si>
  <si>
    <t xml:space="preserve">Report 4.5 and section 5 | Kills a popular assumption</t>
  </si>
  <si>
    <t xml:space="preserve">EH11</t>
  </si>
  <si>
    <t xml:space="preserve">3. Can we trust the instrument?</t>
  </si>
  <si>
    <t xml:space="preserve">Does our district map agree with ASER 2024, rural against rural?</t>
  </si>
  <si>
    <t xml:space="preserve">Contest district ranking agrees with ASER 2024 rural arithmetic (like-for-like: rural, same age band)</t>
  </si>
  <si>
    <t xml:space="preserve">Spearman rank correlation between our 2024-25 district mean and ASER 2024 district arithmetic estimates. Both universes are rural, so this is like-for-like, not an analogy. Tested against both the Std 3-5 subtraction and Std 6-8 division scales.</t>
  </si>
  <si>
    <t xml:space="preserve">Spearman rho=0.56 (p=0.00362) vs ASER Std6-8 division; rho=0.30 (p=0.141) vs the other scale (n=25 districts)</t>
  </si>
  <si>
    <t xml:space="preserve">ASER district samples are roughly 600 children each, so both rankings are noisy. Our 2024-25 round excludes 4 districts. || Pipeline caveat: ASER district samples are small (~600 kids)</t>
  </si>
  <si>
    <t xml:space="preserve">If the agreement were driven by a handful of extreme districts. Check: drop top and bottom 3 and rerun.</t>
  </si>
  <si>
    <t xml:space="preserve">External agreement validates the contest as a measurement instrument; that is a policy asset in itself.</t>
  </si>
  <si>
    <t xml:space="preserve">Report 4.8 | Slide 8 | Validation of the whole submission</t>
  </si>
  <si>
    <t xml:space="preserve">H12</t>
  </si>
  <si>
    <t xml:space="preserve">Does our district map replicate in PARAKH RS 2024?</t>
  </si>
  <si>
    <t xml:space="preserve">Akshara district ranking replicates in PARAKH RS 2024 grade-6 maths (govt schools)</t>
  </si>
  <si>
    <t xml:space="preserve">Spearman rank correlation between our district means and PARAKH RS 2024 grade 6 maths, restricted to the state-government subgroup so the management universe matches.</t>
  </si>
  <si>
    <t xml:space="preserve">Spearman rho=0.51 (p=0.00431, n=29 districts)</t>
  </si>
  <si>
    <t xml:space="preserve">PARAKH publishes whole integers on roughly 1,300 schools statewide, so districts tie frequently, which caps the achievable correlation. || Pipeline caveat: PARAKH publishes integers and samples ~1,300 schools statewide; ties within 1 point</t>
  </si>
  <si>
    <t xml:space="preserve">Ties and rounding. rho = 0.51 on a rounded scale is arguably stronger than it looks.</t>
  </si>
  <si>
    <t xml:space="preserve">Moderate agreement; cite as partial corroboration only.</t>
  </si>
  <si>
    <t xml:space="preserve">Report 4.8 | Slide 8 | Second external validation</t>
  </si>
  <si>
    <t xml:space="preserve">EH12</t>
  </si>
  <si>
    <t xml:space="preserve">Is our agreement with ASER better in well-covered districts?</t>
  </si>
  <si>
    <t xml:space="preserve">Agreement with ASER is better in well-covered districts (disagreement = coverage artefact)</t>
  </si>
  <si>
    <t xml:space="preserve">Computed absolute rank disagreement against ASER for each district, then correlated it with that district's coverage. Our theory was that thin coverage should cause disagreement.</t>
  </si>
  <si>
    <t xml:space="preserve">corr(coverage, |rank disagreement|) r=-0.01 (p=0.95, n=25)</t>
  </si>
  <si>
    <t xml:space="preserve">Comparing two noisy rankings, so the disagreement measure is itself noisy. || Pipeline caveat: two noisy rankings compared</t>
  </si>
  <si>
    <t xml:space="preserve">We were wrong. r = -0.01. Reported as a discard because our hypothesis failed, not because the data is bad.</t>
  </si>
  <si>
    <t xml:space="preserve">If supported: fix coverage first, then trust the map.</t>
  </si>
  <si>
    <t xml:space="preserve">Report section 5 | Our own theory, disproved</t>
  </si>
  <si>
    <t xml:space="preserve">EH20</t>
  </si>
  <si>
    <t xml:space="preserve">Are any of the test questions bad?</t>
  </si>
  <si>
    <t xml:space="preserve">Some items barely discriminate and dilute the measure</t>
  </si>
  <si>
    <t xml:space="preserve">Computed point-biserial discrimination for all 180 item-year-grade combinations: does each question separate stronger children from weaker ones?</t>
  </si>
  <si>
    <t xml:space="preserve">0 of 180 item-year-grades with discrimination r&lt;0.15; worst: </t>
  </si>
  <si>
    <t xml:space="preserve">Low discrimination can also mean a question everyone got right or everyone got wrong, so the threshold is a screen, not a verdict. || Pipeline caveat: low discrimination can also mean everyone-right or everyone-wrong items</t>
  </si>
  <si>
    <t xml:space="preserve">Nothing. Zero items fall below 0.15. Reported as a positive: the instrument is clean.</t>
  </si>
  <si>
    <t xml:space="preserve">Hand the item list to Akshara's assessment team for the 2025-26 paper.</t>
  </si>
  <si>
    <t xml:space="preserve">Report 4.8 and section 5 | Supports instrument credibility</t>
  </si>
  <si>
    <t xml:space="preserve">EH7</t>
  </si>
  <si>
    <t xml:space="preserve">4. Averages and league tables mislead</t>
  </si>
  <si>
    <t xml:space="preserve">Does the district league table change once you account for who was assessed?</t>
  </si>
  <si>
    <t xml:space="preserve">The district league table changes once you adjust for who was assessed (coverage)</t>
  </si>
  <si>
    <t xml:space="preserve">Regressed 2024-25 district mean score on district coverage, then re-ranked districts on the residual plus the state mean. Compared raw rank against adjusted rank.</t>
  </si>
  <si>
    <t xml:space="preserve">cov-score r=0.55 (p=0.00373, n=26); 17 districts move &gt;=3 ranks after adjustment; biggest: Raichur 19-&gt;12; Hassan 4-&gt;11; Gadag 15-&gt;20; Kodagu 13-&gt;8</t>
  </si>
  <si>
    <t xml:space="preserve">The adjustment is a descriptive straight-line correction, not a causal fix. Published as a companion table, never as the true ranking. || Pipeline caveat: adjustment is descriptive, not a causal correction</t>
  </si>
  <si>
    <t xml:space="preserve">If the coverage-score relationship is non-linear, the specific rank shifts change. The general point, that ranks are coverage-sensitive, would survive.</t>
  </si>
  <si>
    <t xml:space="preserve">Never publish a raw league table from a voluntary contest; always publish coverage next to rank.</t>
  </si>
  <si>
    <t xml:space="preserve">Report 4.7 | Recommendation 3 | outputs/tables/league_coverage_adjusted.csv</t>
  </si>
  <si>
    <t xml:space="preserve">EH15</t>
  </si>
  <si>
    <t xml:space="preserve">Are the weakest places also the most unequal inside themselves?</t>
  </si>
  <si>
    <t xml:space="preserve">Low-performing GPs are also the most internally unequal</t>
  </si>
  <si>
    <t xml:space="preserve">Correlated GP mean score against GP standard deviation across 5,599 GPs with at least 15 students, all years pooled.</t>
  </si>
  <si>
    <t xml:space="preserve">corr(GP mean, GP sd) r=-0.62 (p=0, n=5599 GPs with &gt;=15 students)</t>
  </si>
  <si>
    <t xml:space="preserve">Scores near the ceiling mechanically compress spread, which inflates this negative correlation. Direction is trustworthy, magnitude is not. || Pipeline caveat: sd is bounded near the score ceiling, which inflates the negative corr</t>
  </si>
  <si>
    <t xml:space="preserve">The ceiling effect. Do not quote -0.62 as clean. A cleaner test would use a variance-stabilising transform.</t>
  </si>
  <si>
    <t xml:space="preserve">The worst GPs need whole-class remediation, not just tail-targeting.</t>
  </si>
  <si>
    <t xml:space="preserve">Report 4.4 | Argues for whole-class support in weak GPs</t>
  </si>
  <si>
    <t xml:space="preserve">EH16</t>
  </si>
  <si>
    <t xml:space="preserve">Does the measured floor fall where coverage grew?</t>
  </si>
  <si>
    <t xml:space="preserve">Where coverage grew most, the measured floor (p10) fell most (the tail is who arrived)</t>
  </si>
  <si>
    <t xml:space="preserve">Correlated district change in coverage against district change in the 10th-percentile score, 2022-23 to 2024-25.</t>
  </si>
  <si>
    <t xml:space="preserve">corr(d_coverage, floor change) r=-0.54 (p=0.00507, n=25 districts)</t>
  </si>
  <si>
    <t xml:space="preserve">Both floor and coverage move with district administrative effort, so this is association, not attribution. || Pipeline caveat: floor and coverage both move with district effort</t>
  </si>
  <si>
    <t xml:space="preserve">If floor change were driven by something else correlated with expansion. EH24 tests the same idea a second way and agrees.</t>
  </si>
  <si>
    <t xml:space="preserve">Falling floors in expanding districts are a triage signal, not necessarily deterioration.</t>
  </si>
  <si>
    <t xml:space="preserve">Report 4.4 | Recommendation 3</t>
  </si>
  <si>
    <t xml:space="preserve">EH23</t>
  </si>
  <si>
    <t xml:space="preserve">Are the districts at the top of the table actually the best?</t>
  </si>
  <si>
    <t xml:space="preserve">The coastal top-of-table is measured on thin, likely selected samples</t>
  </si>
  <si>
    <t xml:space="preserve">Ranked all 29 districts on pooled all-year student-weighted mean, then placed each district's total coverage next to its rank. Also checked which districts are missing from the 2024-25 round.</t>
  </si>
  <si>
    <t xml:space="preserve">Udupi pooled rank 1 of 29 on 17.7% coverage; Dakshina Kannada pooled rank 2 of 29 on 6.2% coverage; Uttara Kannada pooled rank 3 of 29 on 2.3% coverage; and Udupi, Uttara Kannada, Dakshina Kannada absent from the 2024-25 round entirely</t>
  </si>
  <si>
    <t xml:space="preserve">Thin samples are noisy in both directions. We are not claiming these districts are secretly weak, only that their rank is not a district fact. || Pipeline caveat: thin samples are noisy in both directions; this is a warning about reading the table, not a claim they are secretly weak</t>
  </si>
  <si>
    <t xml:space="preserve">Nothing breaks the arithmetic. The interpretation would change if the thin samples were random rather than self-selected, which is implausible for a voluntary contest.</t>
  </si>
  <si>
    <t xml:space="preserve">Do not hold coastal districts up as models until their coverage passes ~50%.</t>
  </si>
  <si>
    <t xml:space="preserve">Report 4.7 | Strongest single argument for Recommendation 3</t>
  </si>
  <si>
    <t xml:space="preserve">EH24</t>
  </si>
  <si>
    <t xml:space="preserve">Does mean-versus-floor divergence concentrate where coverage grew fastest?</t>
  </si>
  <si>
    <t xml:space="preserve">Mean-vs-floor divergence concentrates where coverage grew fastest</t>
  </si>
  <si>
    <t xml:space="preserve">Split districts into three equal groups by coverage growth, then compared the average gap between mean movement and 10th-percentile movement in each group.</t>
  </si>
  <si>
    <t xml:space="preserve">floor-minus-mean divergence by coverage-growth tercile: low +3.0, mid +2.0, high -6.4 pp</t>
  </si>
  <si>
    <t xml:space="preserve">District-level, same selection caveat as EH16. || Pipeline caveat: same selection caveat as EH16</t>
  </si>
  <si>
    <t xml:space="preserve">Tercile boundaries are arbitrary. The monotonic pattern across all three groups makes an artefact less likely.</t>
  </si>
  <si>
    <t xml:space="preserve">Equity metrics from a voluntary contest must be read jointly with coverage.</t>
  </si>
  <si>
    <t xml:space="preserve">Report 4.4 | Second test of the same idea as EH16</t>
  </si>
  <si>
    <t xml:space="preserve">H7</t>
  </si>
  <si>
    <t xml:space="preserve">Do averages move while the weakest children stay put?</t>
  </si>
  <si>
    <t xml:space="preserve">Averages move without the weakest children moving</t>
  </si>
  <si>
    <t xml:space="preserve">Compared each district's change in mean against its change in 10th-percentile score, first year to last, and counted districts where the floor lagged the mean.</t>
  </si>
  <si>
    <t xml:space="preserve">12 of 25 districts show mean up while the 10th percentile lagged (divergence &lt; 0)</t>
  </si>
  <si>
    <t xml:space="preserve">Items changed yearly, so this is framed as shape and ranking shifts, not point gains. || Pipeline caveat: items changed yearly: frame as ranking/shape shifts, not point gains</t>
  </si>
  <si>
    <t xml:space="preserve">Read alone it looks like an equity failure. EH16 shows part of it is who newly arrived, so the two must be read together.</t>
  </si>
  <si>
    <t xml:space="preserve">Lead the equity slide with the count; name 2 districts each way.</t>
  </si>
  <si>
    <t xml:space="preserve">Report 4.4 | Slide 6 | Recommendation 3</t>
  </si>
  <si>
    <t xml:space="preserve">EH13</t>
  </si>
  <si>
    <t xml:space="preserve">5. Where in maths do children fall off?</t>
  </si>
  <si>
    <t xml:space="preserve">Which single competency tells you the most about a child's overall performance?</t>
  </si>
  <si>
    <t xml:space="preserve">One competency is the best single proxy for overall performance</t>
  </si>
  <si>
    <t xml:space="preserve">For each competency, correlated it against the mean of the OTHER competencies, per grade-year, then averaged across the 9 grade-years. Excluding the competency from its own comparison removes the part-whole overlap that would rig the result.</t>
  </si>
  <si>
    <t xml:space="preserve">mean corr with rest-of-test across 9 grade-years: division 0.67, measurement 0.67, multiplication 0.66, subtraction 0.65, number_sense 0.62, addition 0.62, shapes 0.58</t>
  </si>
  <si>
    <t xml:space="preserve">Correlation, not sequencing. The top three (division 0.67, measurement 0.67, multiplication 0.66) are within 0.01, so naming a single winner overstates the gap. || Pipeline caveat: correlation, not sequencing</t>
  </si>
  <si>
    <t xml:space="preserve">Nothing breaks it, but the honest phrasing is that the multiplicative family carries most information, not that division specifically is best.</t>
  </si>
  <si>
    <t xml:space="preserve">A short division screener could stand in for the whole test between contest rounds.</t>
  </si>
  <si>
    <t xml:space="preserve">Report 4.2 | Supports the short-screener recommendation</t>
  </si>
  <si>
    <t xml:space="preserve">EH14</t>
  </si>
  <si>
    <t xml:space="preserve">Is there a prerequisite ladder in maths mastery?</t>
  </si>
  <si>
    <t xml:space="preserve">Mastery is a ladder: conditional mastery gaps are large (prerequisite structure)</t>
  </si>
  <si>
    <t xml:space="preserve">For each pair of competencies, computed the share of children mastering B among those who mastered A, against the share among those who did not. The difference is the lift.</t>
  </si>
  <si>
    <t xml:space="preserve">largest lift: addition -&gt; subtraction (+48pp: 72% vs 24%); multiplication -&gt; division lift +45pp</t>
  </si>
  <si>
    <t xml:space="preserve">Conditional probability, not proven causal ordering. Both could reflect general ability. || Pipeline caveat: conditional probability, not causal ordering</t>
  </si>
  <si>
    <t xml:space="preserve">General ability driving both. But the ordering matches the curriculum's own logic, so it still guides what to teach first.</t>
  </si>
  <si>
    <t xml:space="preserve">Remediation should sequence: secure the prerequisite before drilling the dependent skill.</t>
  </si>
  <si>
    <t xml:space="preserve">Report 4.2 | Slide 5 | Recommendation 2 (sequencing)</t>
  </si>
  <si>
    <t xml:space="preserve">EH18</t>
  </si>
  <si>
    <t xml:space="preserve">6. Geography, history and money</t>
  </si>
  <si>
    <t xml:space="preserve">Do the over-performing blocks cluster, or are they scattered luck?</t>
  </si>
  <si>
    <t xml:space="preserve">Bright-spot blocks cluster in a few districts (shared practice, not luck)</t>
  </si>
  <si>
    <t xml:space="preserve">Flagged 22 blocks whose actual score beats the structural prediction by a wide margin, then ran a chi-square test on their distribution across districts against expected counts proportional to each district's block count.</t>
  </si>
  <si>
    <t xml:space="preserve">chi-sq p=0.0219; 22 bright blocks, top districts: Belagavi 6, Tumakuru 3, Vijayapura 3</t>
  </si>
  <si>
    <t xml:space="preserve">The block prediction model explains only 26% of variation (cv R2 = 0.26), so the residuals used to flag bright spots are noisy. || Pipeline caveat: residual-based flags; model cv_R2=0.26</t>
  </si>
  <si>
    <t xml:space="preserve">Model misspecification could cluster residuals by district if a district-level covariate is missing from the model.</t>
  </si>
  <si>
    <t xml:space="preserve">If clustered, send the CRP cadre to study those districts' shared practices.</t>
  </si>
  <si>
    <t xml:space="preserve">Report 4.9 | Slide 8 | Recommendation 2 (demonstration sites)</t>
  </si>
  <si>
    <t xml:space="preserve">EH19</t>
  </si>
  <si>
    <t xml:space="preserve">Is the Kalyana Karnataka gap closing or widening?</t>
  </si>
  <si>
    <t xml:space="preserve">The Kalyana Karnataka gap is widening across the three contest years</t>
  </si>
  <si>
    <t xml:space="preserve">Computed the student-weighted mean score for the 7 Article 371J districts against all other districts, separately for each of the three years.</t>
  </si>
  <si>
    <t xml:space="preserve">371J-minus-rest gap by year: 2022-23 -10.0pp, 2023-24 -11.9pp, 2024-25 -15.8pp</t>
  </si>
  <si>
    <t xml:space="preserve">Coverage grew fastest in some KK districts, so part of the widening may be deeper reach rather than falling learning. || Pipeline caveat: coverage grew fastest in some KK districts; part of the widening may be reach</t>
  </si>
  <si>
    <t xml:space="preserve">The coverage confound. State it alongside, as the report does. A constant-GP version of this test would settle it.</t>
  </si>
  <si>
    <t xml:space="preserve">A widening gap strengthens the case for KKRDB money to follow measured learning, not only infrastructure.</t>
  </si>
  <si>
    <t xml:space="preserve">Report 4.3 | Slide 10 | Recommendation 1</t>
  </si>
  <si>
    <t xml:space="preserve">H5</t>
  </si>
  <si>
    <t xml:space="preserve">Is the Kalyana Karnataka gap explained by measured inputs, or is it a mystery?</t>
  </si>
  <si>
    <t xml:space="preserve">Kalyana Karnataka (371J) gap, and whether inputs explain it</t>
  </si>
  <si>
    <t xml:space="preserve">Computed the raw score gap between the 7 Article 371J districts and the rest, then recomputed it after controlling for pupil-teacher ratio, adult literacy and under-5 stunting.</t>
  </si>
  <si>
    <t xml:space="preserve">raw gap -13.3 pp; after controlling ptr_govt+literacy_rate_7plus+u5_stunted_pct the gap is -4.8 pp (mostly explained by measured inputs)</t>
  </si>
  <si>
    <t xml:space="preserve">Three controls only. A decade of 371J funds and the 2023-24 KKRDB education year push in the opposite direction within the window. || Pipeline caveat: a decade of 371J funds; KKRDB education-year 2023-24 pushes the other way from 2023-24</t>
  </si>
  <si>
    <t xml:space="preserve">Omitted variables. But the direction of the finding is hopeful: most of the gap is inputs a government can change.</t>
  </si>
  <si>
    <t xml:space="preserve">Present the pair of numbers: the gap, and the gap after controls. That is the policy slide.</t>
  </si>
  <si>
    <t xml:space="preserve">Report 4.3 | Slide 10 | Recommendation 1 | Must be shown next to H11</t>
  </si>
  <si>
    <t xml:space="preserve">H11</t>
  </si>
  <si>
    <t xml:space="preserve">Does the learning map follow pre-1956 administrative borders?</t>
  </si>
  <si>
    <t xml:space="preserve">The learning map follows pre-1956 administrative borders</t>
  </si>
  <si>
    <t xml:space="preserve">Grouped districts by the administration they belonged to before the States Reorganisation Act (Bombay, Hyderabad, Madras, Mysore, Coorg) and ran ANOVA on group means.</t>
  </si>
  <si>
    <t xml:space="preserve">legacy-group means: Bombay 60.5; Coorg 54.4; Hyderabad 45.9; Madras 58.2; Mysore 54.9 (ANOVA p=0.036)</t>
  </si>
  <si>
    <t xml:space="preserve">We coded the legacy groupings ourselves from historical literature. Verify before quoting. Legacy correlates with present-day inputs, so this is not an independent explanation. || Pipeline caveat: explains, never excuses; do not present without the 371J-inputs slide next to it</t>
  </si>
  <si>
    <t xml:space="preserve">Confounding with current inputs, which H5 shows explain most of the gap. Dangerous if presented without H5 beside it.</t>
  </si>
  <si>
    <t xml:space="preserve">Innovation slide if SUPPORTED. Framing: a 70-year inheritance, not a verdict on anyone today.</t>
  </si>
  <si>
    <t xml:space="preserve">Report 4.3 context | Never present alone</t>
  </si>
  <si>
    <t xml:space="preserve">EH17</t>
  </si>
  <si>
    <t xml:space="preserve">Did districts hit by the 2023 drought decline more the following year?</t>
  </si>
  <si>
    <t xml:space="preserve">Districts named in the 2023 drought declaration declined more in the following year</t>
  </si>
  <si>
    <t xml:space="preserve">Attempted to split districts into drought-declared and not, using the verified events timeline, then compare 2023-24 to 2024-25 change.</t>
  </si>
  <si>
    <t xml:space="preserve">drought list resolves to 0 districts - no usable contrast</t>
  </si>
  <si>
    <t xml:space="preserve">The declaration covered 223 taluks, which is most of Karnataka. Our data joins at district, the shock is at taluk level. || Pipeline caveat: the 2023 drought covered most of the state</t>
  </si>
  <si>
    <t xml:space="preserve">Untestable as designed. A taluk-level assessment file would make it testable.</t>
  </si>
  <si>
    <t xml:space="preserve">Cannot test with district contrast; say so in limitations.</t>
  </si>
  <si>
    <t xml:space="preserve">Report section 5 and limitations | Reported as untestable, not as null</t>
  </si>
  <si>
    <t xml:space="preserve">H1</t>
  </si>
  <si>
    <t xml:space="preserve">Do blocks with more crowded classrooms score worse?</t>
  </si>
  <si>
    <t xml:space="preserve">Higher pupil-teacher ratio, lower scores</t>
  </si>
  <si>
    <t xml:space="preserve">Correlated block-level government-school pupil-teacher ratio against block mean score, partially controlling for Census block literacy.</t>
  </si>
  <si>
    <t xml:space="preserve">r=-0.18 (p=0.0711, n=99 blocks)</t>
  </si>
  <si>
    <t xml:space="preserve">PTR proxies remoteness and school size as well as teacher availability. Block join to UDISE is 68%. || Pipeline caveat: PTR proxies remoteness too; partial control applied for block literacy</t>
  </si>
  <si>
    <t xml:space="preserve">Direction is right and p = 0.07 is borderline. A larger block sample might clear the bar. We do not present it alone.</t>
  </si>
  <si>
    <t xml:space="preserve">Do not present. If asked, say it was tested and found near-zero.</t>
  </si>
  <si>
    <t xml:space="preserve">Not presented alone | PTR enters the submission through H5</t>
  </si>
  <si>
    <t xml:space="preserve">H2</t>
  </si>
  <si>
    <t xml:space="preserve">Do non-Kannada-medium belts score worse on a Kannada-language test?</t>
  </si>
  <si>
    <t xml:space="preserve">Non-Kannada-medium belts score differently on a Kannada-language test</t>
  </si>
  <si>
    <t xml:space="preserve">Correlated the share of non-Kannada-medium government schools in a block against block mean score.</t>
  </si>
  <si>
    <t xml:space="preserve">r=-0.01 (p=0.947, n=116 blocks)</t>
  </si>
  <si>
    <t xml:space="preserve">We measured the medium of schools in the block, not the language spoken at home by the child who sat the test. That is a real gap between measure and concept. || Pipeline caveat: medium share is a school-stock measure, not the tested child's home language; upgrade: item-level word-problem vs computation split in the afternoon</t>
  </si>
  <si>
    <t xml:space="preserve">The measure may be too coarse. A home-language variable, or an item-level split of word problems against pure computation, would test it properly.</t>
  </si>
  <si>
    <t xml:space="preserve">Report 4.6 and section 5 | Reported as a null on a plausible equity worry</t>
  </si>
  <si>
    <t xml:space="preserve">H4</t>
  </si>
  <si>
    <t xml:space="preserve">Does early childhood stunting predict this cohort's maths?</t>
  </si>
  <si>
    <t xml:space="preserve">NFHS-5 stunting districts still lag (the tested cohort IS that under-5 cohort)</t>
  </si>
  <si>
    <t xml:space="preserve">Correlated NFHS-5 district under-5 stunting against district mean score. The tested children were born 2012-2016, so they ARE the NFHS-5 under-5 cohort. The exposure timing lines up exactly.</t>
  </si>
  <si>
    <t xml:space="preserve">r=-0.04 (p=0.837, n=28 districts)</t>
  </si>
  <si>
    <t xml:space="preserve">NFHS-5 is district-level and mixes urban with rural, while our universe is rural only. That mismatch may be enough to wash out a real effect. || Pipeline caveat: NFHS-5 is 2019-21 and urban+rural; tested cohort born 2012-16 so exposure timing fits</t>
  </si>
  <si>
    <t xml:space="preserve">Aggregation. A rural-only, block-level nutrition measure could still find something. We report the null at the level we can test.</t>
  </si>
  <si>
    <t xml:space="preserve">Report section 5 | Our best-designed question, and it returned nothing</t>
  </si>
  <si>
    <t xml:space="preserve">H8</t>
  </si>
  <si>
    <t xml:space="preserve">Do children in teacher-starved blocks progress more slowly?</t>
  </si>
  <si>
    <t xml:space="preserve">Cohorts in teacher-starved blocks progress slower</t>
  </si>
  <si>
    <t xml:space="preserve">Compared cohort progression (same place, same cohort, successive years) between the most and least crowded quartiles of blocks by PTR.</t>
  </si>
  <si>
    <t xml:space="preserve">cohort progression -1.96 pp in top-PTR quartile vs -2.00 in bottom (diff 0.04, p=0.965)</t>
  </si>
  <si>
    <t xml:space="preserve">Cohorts are synthetic: same place and cohort, different individual children. Composition can shift between years. || Pipeline caveat: cross-year comparison carries the instrument caveat</t>
  </si>
  <si>
    <t xml:space="preserve">Nothing. A difference of 0.04pp with p = 0.97 is as null as results get.</t>
  </si>
  <si>
    <t xml:space="preserve">Do not present; progression is not differential by PTR here.</t>
  </si>
  <si>
    <t xml:space="preserve">Report section 5</t>
  </si>
  <si>
    <t xml:space="preserve">H10</t>
  </si>
  <si>
    <t xml:space="preserve">Do government schools score worse where private schools are common?</t>
  </si>
  <si>
    <t xml:space="preserve">High private-school presence, lower government-school scores (selection)</t>
  </si>
  <si>
    <t xml:space="preserve">Correlated the share of private schools in a block against block mean government-school score, testing whether private schools cream off advantaged children.</t>
  </si>
  <si>
    <t xml:space="preserve">r=-0.14 (p=0.133, n=116 blocks)</t>
  </si>
  <si>
    <t xml:space="preserve">This is a composition and selection story, not a measure of school quality. Block join is 68%. || Pipeline caveat: composition/selection story, not school quality; CMS-E shows exit is income-graded</t>
  </si>
  <si>
    <t xml:space="preserve">r = -0.14, p = 0.13. Direction is plausible but the evidence is not there at this sample size.</t>
  </si>
  <si>
    <t xml:space="preserve">Hypothesis register: summary</t>
  </si>
  <si>
    <t xml:space="preserve">Counts recalculate from the Hypotheses tab. Source of every number: outputs/tables/hypothesis_menu.csv, produced by src/run_all.py then src/day1_verdicts.py then src/extra_hypotheses.py (seed 20260801).</t>
  </si>
  <si>
    <t xml:space="preserve">Count</t>
  </si>
  <si>
    <t xml:space="preserve">Share of all</t>
  </si>
  <si>
    <t xml:space="preserve">What it means</t>
  </si>
  <si>
    <t xml:space="preserve">Effect is sizeable, unlikely to be chance, and survived a test built to break it. Safe to present.</t>
  </si>
  <si>
    <t xml:space="preserve">Visible but small, or failed one check. Mention with the caveat; do not build a slide on it.</t>
  </si>
  <si>
    <t xml:space="preserve">No usable signal, or the test could not be run. Reported openly in report.pdf section 5.</t>
  </si>
  <si>
    <t xml:space="preserve">TOTAL</t>
  </si>
  <si>
    <t xml:space="preserve">By theme</t>
  </si>
  <si>
    <t xml:space="preserve">Total</t>
  </si>
  <si>
    <t xml:space="preserve">Supported</t>
  </si>
  <si>
    <t xml:space="preserve">Weak</t>
  </si>
  <si>
    <t xml:space="preserve">Discarded</t>
  </si>
  <si>
    <t xml:space="preserve">How to read this register</t>
  </si>
  <si>
    <t xml:space="preserve">What this file is</t>
  </si>
  <si>
    <t xml:space="preserve">Every hypothesis we tested on the Akshara GP Maths Contest data, whether it survived or not. 36 in total. Testing in public is deliberate: a question answered honestly and discarded is worth more than a question avoided.</t>
  </si>
  <si>
    <t xml:space="preserve">Where the numbers come from</t>
  </si>
  <si>
    <t xml:space="preserve">The Finding, Verdict, formal hypothesis text and pipeline caveat are read directly from outputs/tables/hypothesis_menu.csv by src/build_hypothesis_xlsx.py. They are not retyped by hand. The plain-English question, methodology, assumptions and break-conditions are written by the team.</t>
  </si>
  <si>
    <t xml:space="preserve">How to reproduce</t>
  </si>
  <si>
    <t xml:space="preserve">From the repo root: python src/run_all.py, then python src/day1_verdicts.py, then python src/extra_hypotheses.py. Fixed seed 20260801. Runs offline in about three minutes.</t>
  </si>
  <si>
    <t xml:space="preserve">Verdict thresholds</t>
  </si>
  <si>
    <t xml:space="preserve">SUPPORTED needs a sizeable effect, statistical clarity, and survival of a robustness check. WEAK means small, or one check failed. DISCARD means no usable signal or the test could not be run. Thresholds are stated in the docstring of each source script so a judge can check them.</t>
  </si>
  <si>
    <t xml:space="preserve">Causal language</t>
  </si>
  <si>
    <t xml:space="preserve">This is observational data. Every judgment in the report is phrased as consistent-with. Nothing here proves causation, and nothing claims to.</t>
  </si>
  <si>
    <t xml:space="preserve">The cross-year caveat</t>
  </si>
  <si>
    <t xml:space="preserve">The 20 questions change every year within a constant competency framework. All cross-year statements are made at competency or ranking level, never as raw item-score gains, and the headline decline is corroborated by two independent external assessments (ASER 2024 and PARAKH RS 2024).</t>
  </si>
  <si>
    <t xml:space="preserve">The universe</t>
  </si>
  <si>
    <t xml:space="preserve">Rural State Government schools only, grades 4 to 6, 1,379,087 student records across three years. Every UDISE denominator filters to management_group = State Government and rural_urban = Rural. This makes ASER, which is also rural-only, a like-for-like benchmark.</t>
  </si>
  <si>
    <t xml:space="preserve">Known weaknesses we would raise ourselves</t>
  </si>
  <si>
    <t xml:space="preserve">EH13 names division as the best single proxy at 0.67, but measurement is also 0.67 and multiplication 0.66; the honest phrasing is that the multiplicative family carries most information. EH15's correlation of -0.62 is inflated by a ceiling effect; the direction holds, the magnitude does not.</t>
  </si>
</sst>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9"/>
      <name val="Arial"/>
      <family val="0"/>
      <charset val="1"/>
    </font>
    <font>
      <sz val="9"/>
      <name val="Arial"/>
      <family val="0"/>
      <charset val="1"/>
    </font>
    <font>
      <b val="true"/>
      <sz val="13"/>
      <color rgb="FF123B47"/>
      <name val="Arial"/>
      <family val="0"/>
      <charset val="1"/>
    </font>
    <font>
      <i val="true"/>
      <sz val="9"/>
      <name val="Arial"/>
      <family val="0"/>
      <charset val="1"/>
    </font>
    <font>
      <b val="true"/>
      <sz val="10"/>
      <name val="Arial"/>
      <family val="0"/>
      <charset val="1"/>
    </font>
    <font>
      <sz val="10"/>
      <name val="Arial"/>
      <family val="0"/>
      <charset val="1"/>
    </font>
    <font>
      <b val="true"/>
      <sz val="11"/>
      <color rgb="FF123B47"/>
      <name val="Arial"/>
      <family val="0"/>
      <charset val="1"/>
    </font>
    <font>
      <sz val="9.5"/>
      <name val="Arial"/>
      <family val="0"/>
      <charset val="1"/>
    </font>
  </fonts>
  <fills count="7">
    <fill>
      <patternFill patternType="none"/>
    </fill>
    <fill>
      <patternFill patternType="gray125"/>
    </fill>
    <fill>
      <patternFill patternType="solid">
        <fgColor rgb="FF123B47"/>
        <bgColor rgb="FF333333"/>
      </patternFill>
    </fill>
    <fill>
      <patternFill patternType="solid">
        <fgColor rgb="FFF4F8F8"/>
        <bgColor rgb="FFFFFFFF"/>
      </patternFill>
    </fill>
    <fill>
      <patternFill patternType="solid">
        <fgColor rgb="FFD9F0D3"/>
        <bgColor rgb="FFFDF0D5"/>
      </patternFill>
    </fill>
    <fill>
      <patternFill patternType="solid">
        <fgColor rgb="FFFBDDD8"/>
        <bgColor rgb="FFFDF0D5"/>
      </patternFill>
    </fill>
    <fill>
      <patternFill patternType="solid">
        <fgColor rgb="FFFDF0D5"/>
        <bgColor rgb="FFF4F8F8"/>
      </patternFill>
    </fill>
  </fills>
  <borders count="2">
    <border diagonalUp="false" diagonalDown="false">
      <left/>
      <right/>
      <top/>
      <bottom/>
      <diagonal/>
    </border>
    <border diagonalUp="false" diagonalDown="false">
      <left style="thin">
        <color rgb="FFC9D4D6"/>
      </left>
      <right style="thin">
        <color rgb="FFC9D4D6"/>
      </right>
      <top style="thin">
        <color rgb="FFC9D4D6"/>
      </top>
      <bottom style="thin">
        <color rgb="FFC9D4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23B47"/>
          <bgColor rgb="FF000000"/>
        </patternFill>
      </fill>
    </dxf>
    <dxf>
      <fill>
        <patternFill patternType="solid">
          <fgColor rgb="FFF4F8F8"/>
          <bgColor rgb="FF000000"/>
        </patternFill>
      </fill>
    </dxf>
    <dxf>
      <fill>
        <patternFill patternType="solid">
          <bgColor rgb="FF000000"/>
        </patternFill>
      </fill>
    </dxf>
    <dxf>
      <fill>
        <patternFill patternType="solid">
          <fgColor rgb="FFFFFFFF"/>
          <bgColor rgb="FF000000"/>
        </patternFill>
      </fill>
    </dxf>
    <dxf>
      <fill>
        <patternFill patternType="solid">
          <fgColor rgb="FFD9F0D3"/>
          <bgColor rgb="FF000000"/>
        </patternFill>
      </fill>
    </dxf>
    <dxf>
      <fill>
        <patternFill patternType="solid">
          <fgColor rgb="FFFBDDD8"/>
          <bgColor rgb="FF000000"/>
        </patternFill>
      </fill>
    </dxf>
    <dxf>
      <fill>
        <patternFill patternType="solid">
          <fgColor rgb="FFFDF0D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0D5"/>
      <rgbColor rgb="FFF4F8F8"/>
      <rgbColor rgb="FF660066"/>
      <rgbColor rgb="FFFF8080"/>
      <rgbColor rgb="FF0066CC"/>
      <rgbColor rgb="FFC9D4D6"/>
      <rgbColor rgb="FF000080"/>
      <rgbColor rgb="FFFF00FF"/>
      <rgbColor rgb="FFFFFF00"/>
      <rgbColor rgb="FF00FFFF"/>
      <rgbColor rgb="FF800080"/>
      <rgbColor rgb="FF800000"/>
      <rgbColor rgb="FF008080"/>
      <rgbColor rgb="FF0000FF"/>
      <rgbColor rgb="FF00CCFF"/>
      <rgbColor rgb="FFCCFFFF"/>
      <rgbColor rgb="FFD9F0D3"/>
      <rgbColor rgb="FFFFFF99"/>
      <rgbColor rgb="FF99CCFF"/>
      <rgbColor rgb="FFFF99CC"/>
      <rgbColor rgb="FFCC99FF"/>
      <rgbColor rgb="FFFBDDD8"/>
      <rgbColor rgb="FF3366FF"/>
      <rgbColor rgb="FF33CCCC"/>
      <rgbColor rgb="FF99CC00"/>
      <rgbColor rgb="FFFFCC00"/>
      <rgbColor rgb="FFFF9900"/>
      <rgbColor rgb="FFFF6600"/>
      <rgbColor rgb="FF666699"/>
      <rgbColor rgb="FF969696"/>
      <rgbColor rgb="FF123B4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4" min="3" style="0" width="34"/>
    <col collapsed="false" customWidth="true" hidden="false" outlineLevel="0" max="5" min="5" style="0" width="52"/>
    <col collapsed="false" customWidth="true" hidden="false" outlineLevel="0" max="6" min="6" style="0" width="44"/>
    <col collapsed="false" customWidth="true" hidden="false" outlineLevel="0" max="7" min="7" style="0" width="12"/>
    <col collapsed="false" customWidth="true" hidden="false" outlineLevel="0" max="8" min="8" style="0" width="50"/>
    <col collapsed="false" customWidth="true" hidden="false" outlineLevel="0" max="9" min="9" style="0" width="44"/>
    <col collapsed="false" customWidth="true" hidden="false" outlineLevel="0" max="10" min="10" style="0" width="42"/>
    <col collapsed="false" customWidth="true" hidden="false" outlineLevel="0" max="11" min="11" style="0" width="28"/>
    <col collapsed="false" customWidth="true" hidden="false" outlineLevel="0" max="12" min="12" style="0" width="20"/>
  </cols>
  <sheetData>
    <row r="1" customFormat="false" ht="33.75"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11.75" hidden="false" customHeight="true" outlineLevel="0" collapsed="false">
      <c r="A2" s="2" t="s">
        <v>12</v>
      </c>
      <c r="B2" s="3" t="s">
        <v>13</v>
      </c>
      <c r="C2" s="3" t="s">
        <v>14</v>
      </c>
      <c r="D2" s="3" t="s">
        <v>15</v>
      </c>
      <c r="E2" s="3" t="s">
        <v>16</v>
      </c>
      <c r="F2" s="3" t="s">
        <v>17</v>
      </c>
      <c r="G2" s="4" t="s">
        <v>18</v>
      </c>
      <c r="H2" s="3" t="s">
        <v>19</v>
      </c>
      <c r="I2" s="3" t="s">
        <v>20</v>
      </c>
      <c r="J2" s="3" t="s">
        <v>21</v>
      </c>
      <c r="K2" s="3" t="s">
        <v>22</v>
      </c>
      <c r="L2" s="3" t="s">
        <v>23</v>
      </c>
    </row>
    <row r="3" customFormat="false" ht="111.75" hidden="false" customHeight="true" outlineLevel="0" collapsed="false">
      <c r="A3" s="5" t="s">
        <v>24</v>
      </c>
      <c r="B3" s="6" t="s">
        <v>13</v>
      </c>
      <c r="C3" s="6" t="s">
        <v>25</v>
      </c>
      <c r="D3" s="6" t="s">
        <v>26</v>
      </c>
      <c r="E3" s="6" t="s">
        <v>27</v>
      </c>
      <c r="F3" s="6" t="s">
        <v>28</v>
      </c>
      <c r="G3" s="4" t="s">
        <v>18</v>
      </c>
      <c r="H3" s="6" t="s">
        <v>29</v>
      </c>
      <c r="I3" s="6" t="s">
        <v>30</v>
      </c>
      <c r="J3" s="6" t="s">
        <v>31</v>
      </c>
      <c r="K3" s="6" t="s">
        <v>32</v>
      </c>
      <c r="L3" s="6" t="s">
        <v>23</v>
      </c>
    </row>
    <row r="4" customFormat="false" ht="111.75" hidden="false" customHeight="true" outlineLevel="0" collapsed="false">
      <c r="A4" s="2" t="s">
        <v>33</v>
      </c>
      <c r="B4" s="3" t="s">
        <v>13</v>
      </c>
      <c r="C4" s="3" t="s">
        <v>34</v>
      </c>
      <c r="D4" s="3" t="s">
        <v>35</v>
      </c>
      <c r="E4" s="3" t="s">
        <v>36</v>
      </c>
      <c r="F4" s="3" t="s">
        <v>37</v>
      </c>
      <c r="G4" s="4" t="s">
        <v>18</v>
      </c>
      <c r="H4" s="3" t="s">
        <v>38</v>
      </c>
      <c r="I4" s="3" t="s">
        <v>39</v>
      </c>
      <c r="J4" s="3" t="s">
        <v>40</v>
      </c>
      <c r="K4" s="3" t="s">
        <v>41</v>
      </c>
      <c r="L4" s="3" t="s">
        <v>23</v>
      </c>
    </row>
    <row r="5" customFormat="false" ht="111.75" hidden="false" customHeight="true" outlineLevel="0" collapsed="false">
      <c r="A5" s="5" t="s">
        <v>42</v>
      </c>
      <c r="B5" s="6" t="s">
        <v>13</v>
      </c>
      <c r="C5" s="6" t="s">
        <v>43</v>
      </c>
      <c r="D5" s="6" t="s">
        <v>44</v>
      </c>
      <c r="E5" s="6" t="s">
        <v>45</v>
      </c>
      <c r="F5" s="6" t="s">
        <v>46</v>
      </c>
      <c r="G5" s="4" t="s">
        <v>18</v>
      </c>
      <c r="H5" s="6" t="s">
        <v>47</v>
      </c>
      <c r="I5" s="6" t="s">
        <v>48</v>
      </c>
      <c r="J5" s="6" t="s">
        <v>49</v>
      </c>
      <c r="K5" s="6" t="s">
        <v>32</v>
      </c>
      <c r="L5" s="6" t="s">
        <v>23</v>
      </c>
    </row>
    <row r="6" customFormat="false" ht="111.75" hidden="false" customHeight="true" outlineLevel="0" collapsed="false">
      <c r="A6" s="2" t="s">
        <v>50</v>
      </c>
      <c r="B6" s="3" t="s">
        <v>13</v>
      </c>
      <c r="C6" s="3" t="s">
        <v>51</v>
      </c>
      <c r="D6" s="3" t="s">
        <v>52</v>
      </c>
      <c r="E6" s="3" t="s">
        <v>53</v>
      </c>
      <c r="F6" s="3" t="s">
        <v>54</v>
      </c>
      <c r="G6" s="7" t="s">
        <v>55</v>
      </c>
      <c r="H6" s="3" t="s">
        <v>56</v>
      </c>
      <c r="I6" s="3" t="s">
        <v>57</v>
      </c>
      <c r="J6" s="3" t="s">
        <v>58</v>
      </c>
      <c r="K6" s="3" t="s">
        <v>59</v>
      </c>
      <c r="L6" s="3" t="s">
        <v>23</v>
      </c>
    </row>
    <row r="7" customFormat="false" ht="111.75" hidden="false" customHeight="true" outlineLevel="0" collapsed="false">
      <c r="A7" s="5" t="s">
        <v>60</v>
      </c>
      <c r="B7" s="6" t="s">
        <v>13</v>
      </c>
      <c r="C7" s="6" t="s">
        <v>61</v>
      </c>
      <c r="D7" s="6" t="s">
        <v>62</v>
      </c>
      <c r="E7" s="6" t="s">
        <v>63</v>
      </c>
      <c r="F7" s="6" t="s">
        <v>64</v>
      </c>
      <c r="G7" s="7" t="s">
        <v>55</v>
      </c>
      <c r="H7" s="6" t="s">
        <v>65</v>
      </c>
      <c r="I7" s="6" t="s">
        <v>66</v>
      </c>
      <c r="J7" s="6" t="s">
        <v>67</v>
      </c>
      <c r="K7" s="6" t="s">
        <v>68</v>
      </c>
      <c r="L7" s="6" t="s">
        <v>23</v>
      </c>
    </row>
    <row r="8" customFormat="false" ht="111.75" hidden="false" customHeight="true" outlineLevel="0" collapsed="false">
      <c r="A8" s="2" t="s">
        <v>69</v>
      </c>
      <c r="B8" s="3" t="s">
        <v>13</v>
      </c>
      <c r="C8" s="3" t="s">
        <v>70</v>
      </c>
      <c r="D8" s="3" t="s">
        <v>71</v>
      </c>
      <c r="E8" s="3" t="s">
        <v>72</v>
      </c>
      <c r="F8" s="3" t="s">
        <v>73</v>
      </c>
      <c r="G8" s="7" t="s">
        <v>55</v>
      </c>
      <c r="H8" s="3" t="s">
        <v>74</v>
      </c>
      <c r="I8" s="3" t="s">
        <v>75</v>
      </c>
      <c r="J8" s="3" t="s">
        <v>76</v>
      </c>
      <c r="K8" s="3" t="s">
        <v>77</v>
      </c>
      <c r="L8" s="3" t="s">
        <v>23</v>
      </c>
    </row>
    <row r="9" customFormat="false" ht="111.75" hidden="false" customHeight="true" outlineLevel="0" collapsed="false">
      <c r="A9" s="5" t="s">
        <v>78</v>
      </c>
      <c r="B9" s="6" t="s">
        <v>13</v>
      </c>
      <c r="C9" s="6" t="s">
        <v>79</v>
      </c>
      <c r="D9" s="6" t="s">
        <v>80</v>
      </c>
      <c r="E9" s="6" t="s">
        <v>81</v>
      </c>
      <c r="F9" s="6" t="s">
        <v>82</v>
      </c>
      <c r="G9" s="7" t="s">
        <v>55</v>
      </c>
      <c r="H9" s="6" t="s">
        <v>83</v>
      </c>
      <c r="I9" s="6" t="s">
        <v>84</v>
      </c>
      <c r="J9" s="6" t="s">
        <v>85</v>
      </c>
      <c r="K9" s="6" t="s">
        <v>86</v>
      </c>
      <c r="L9" s="6" t="s">
        <v>87</v>
      </c>
    </row>
    <row r="10" customFormat="false" ht="111.75" hidden="false" customHeight="true" outlineLevel="0" collapsed="false">
      <c r="A10" s="2" t="s">
        <v>88</v>
      </c>
      <c r="B10" s="3" t="s">
        <v>89</v>
      </c>
      <c r="C10" s="3" t="s">
        <v>90</v>
      </c>
      <c r="D10" s="3" t="s">
        <v>91</v>
      </c>
      <c r="E10" s="3" t="s">
        <v>92</v>
      </c>
      <c r="F10" s="3" t="s">
        <v>93</v>
      </c>
      <c r="G10" s="4" t="s">
        <v>18</v>
      </c>
      <c r="H10" s="3" t="s">
        <v>94</v>
      </c>
      <c r="I10" s="3" t="s">
        <v>95</v>
      </c>
      <c r="J10" s="3" t="s">
        <v>96</v>
      </c>
      <c r="K10" s="3" t="s">
        <v>97</v>
      </c>
      <c r="L10" s="3" t="s">
        <v>23</v>
      </c>
    </row>
    <row r="11" customFormat="false" ht="111.75" hidden="false" customHeight="true" outlineLevel="0" collapsed="false">
      <c r="A11" s="5" t="s">
        <v>98</v>
      </c>
      <c r="B11" s="6" t="s">
        <v>89</v>
      </c>
      <c r="C11" s="6" t="s">
        <v>99</v>
      </c>
      <c r="D11" s="6" t="s">
        <v>100</v>
      </c>
      <c r="E11" s="6" t="s">
        <v>101</v>
      </c>
      <c r="F11" s="6" t="s">
        <v>102</v>
      </c>
      <c r="G11" s="4" t="s">
        <v>18</v>
      </c>
      <c r="H11" s="6" t="s">
        <v>103</v>
      </c>
      <c r="I11" s="6" t="s">
        <v>104</v>
      </c>
      <c r="J11" s="6" t="s">
        <v>105</v>
      </c>
      <c r="K11" s="6" t="s">
        <v>106</v>
      </c>
      <c r="L11" s="6" t="s">
        <v>23</v>
      </c>
    </row>
    <row r="12" customFormat="false" ht="111.75" hidden="false" customHeight="true" outlineLevel="0" collapsed="false">
      <c r="A12" s="2" t="s">
        <v>107</v>
      </c>
      <c r="B12" s="3" t="s">
        <v>89</v>
      </c>
      <c r="C12" s="3" t="s">
        <v>108</v>
      </c>
      <c r="D12" s="3" t="s">
        <v>109</v>
      </c>
      <c r="E12" s="3" t="s">
        <v>110</v>
      </c>
      <c r="F12" s="3" t="s">
        <v>111</v>
      </c>
      <c r="G12" s="4" t="s">
        <v>18</v>
      </c>
      <c r="H12" s="3" t="s">
        <v>112</v>
      </c>
      <c r="I12" s="3" t="s">
        <v>113</v>
      </c>
      <c r="J12" s="3" t="s">
        <v>114</v>
      </c>
      <c r="K12" s="3" t="s">
        <v>115</v>
      </c>
      <c r="L12" s="3" t="s">
        <v>23</v>
      </c>
    </row>
    <row r="13" customFormat="false" ht="111.75" hidden="false" customHeight="true" outlineLevel="0" collapsed="false">
      <c r="A13" s="5" t="s">
        <v>116</v>
      </c>
      <c r="B13" s="6" t="s">
        <v>89</v>
      </c>
      <c r="C13" s="6" t="s">
        <v>117</v>
      </c>
      <c r="D13" s="6" t="s">
        <v>118</v>
      </c>
      <c r="E13" s="6" t="s">
        <v>119</v>
      </c>
      <c r="F13" s="6" t="s">
        <v>120</v>
      </c>
      <c r="G13" s="8" t="s">
        <v>121</v>
      </c>
      <c r="H13" s="6" t="s">
        <v>122</v>
      </c>
      <c r="I13" s="6" t="s">
        <v>123</v>
      </c>
      <c r="J13" s="6" t="s">
        <v>124</v>
      </c>
      <c r="K13" s="6" t="s">
        <v>125</v>
      </c>
      <c r="L13" s="6" t="s">
        <v>23</v>
      </c>
    </row>
    <row r="14" customFormat="false" ht="111.75" hidden="false" customHeight="true" outlineLevel="0" collapsed="false">
      <c r="A14" s="2" t="s">
        <v>126</v>
      </c>
      <c r="B14" s="3" t="s">
        <v>89</v>
      </c>
      <c r="C14" s="3" t="s">
        <v>127</v>
      </c>
      <c r="D14" s="3" t="s">
        <v>128</v>
      </c>
      <c r="E14" s="3" t="s">
        <v>129</v>
      </c>
      <c r="F14" s="3" t="s">
        <v>130</v>
      </c>
      <c r="G14" s="8" t="s">
        <v>121</v>
      </c>
      <c r="H14" s="3" t="s">
        <v>131</v>
      </c>
      <c r="I14" s="3" t="s">
        <v>132</v>
      </c>
      <c r="J14" s="3" t="s">
        <v>133</v>
      </c>
      <c r="K14" s="3" t="s">
        <v>134</v>
      </c>
      <c r="L14" s="3" t="s">
        <v>87</v>
      </c>
    </row>
    <row r="15" customFormat="false" ht="111.75" hidden="false" customHeight="true" outlineLevel="0" collapsed="false">
      <c r="A15" s="5" t="s">
        <v>135</v>
      </c>
      <c r="B15" s="6" t="s">
        <v>89</v>
      </c>
      <c r="C15" s="6" t="s">
        <v>136</v>
      </c>
      <c r="D15" s="6" t="s">
        <v>137</v>
      </c>
      <c r="E15" s="6" t="s">
        <v>138</v>
      </c>
      <c r="F15" s="6" t="s">
        <v>139</v>
      </c>
      <c r="G15" s="7" t="s">
        <v>55</v>
      </c>
      <c r="H15" s="6" t="s">
        <v>140</v>
      </c>
      <c r="I15" s="6" t="s">
        <v>141</v>
      </c>
      <c r="J15" s="6" t="s">
        <v>142</v>
      </c>
      <c r="K15" s="6" t="s">
        <v>143</v>
      </c>
      <c r="L15" s="6" t="s">
        <v>87</v>
      </c>
    </row>
    <row r="16" customFormat="false" ht="111.75" hidden="false" customHeight="true" outlineLevel="0" collapsed="false">
      <c r="A16" s="2" t="s">
        <v>144</v>
      </c>
      <c r="B16" s="3" t="s">
        <v>145</v>
      </c>
      <c r="C16" s="3" t="s">
        <v>146</v>
      </c>
      <c r="D16" s="3" t="s">
        <v>147</v>
      </c>
      <c r="E16" s="3" t="s">
        <v>148</v>
      </c>
      <c r="F16" s="3" t="s">
        <v>149</v>
      </c>
      <c r="G16" s="4" t="s">
        <v>18</v>
      </c>
      <c r="H16" s="3" t="s">
        <v>150</v>
      </c>
      <c r="I16" s="3" t="s">
        <v>151</v>
      </c>
      <c r="J16" s="3" t="s">
        <v>152</v>
      </c>
      <c r="K16" s="3" t="s">
        <v>153</v>
      </c>
      <c r="L16" s="3" t="s">
        <v>23</v>
      </c>
    </row>
    <row r="17" customFormat="false" ht="111.75" hidden="false" customHeight="true" outlineLevel="0" collapsed="false">
      <c r="A17" s="5" t="s">
        <v>154</v>
      </c>
      <c r="B17" s="6" t="s">
        <v>145</v>
      </c>
      <c r="C17" s="6" t="s">
        <v>155</v>
      </c>
      <c r="D17" s="6" t="s">
        <v>156</v>
      </c>
      <c r="E17" s="6" t="s">
        <v>157</v>
      </c>
      <c r="F17" s="6" t="s">
        <v>158</v>
      </c>
      <c r="G17" s="8" t="s">
        <v>121</v>
      </c>
      <c r="H17" s="6" t="s">
        <v>159</v>
      </c>
      <c r="I17" s="6" t="s">
        <v>160</v>
      </c>
      <c r="J17" s="6" t="s">
        <v>161</v>
      </c>
      <c r="K17" s="6" t="s">
        <v>162</v>
      </c>
      <c r="L17" s="6" t="s">
        <v>87</v>
      </c>
    </row>
    <row r="18" customFormat="false" ht="111.75" hidden="false" customHeight="true" outlineLevel="0" collapsed="false">
      <c r="A18" s="2" t="s">
        <v>163</v>
      </c>
      <c r="B18" s="3" t="s">
        <v>145</v>
      </c>
      <c r="C18" s="3" t="s">
        <v>164</v>
      </c>
      <c r="D18" s="3" t="s">
        <v>165</v>
      </c>
      <c r="E18" s="3" t="s">
        <v>166</v>
      </c>
      <c r="F18" s="3" t="s">
        <v>167</v>
      </c>
      <c r="G18" s="7" t="s">
        <v>55</v>
      </c>
      <c r="H18" s="3" t="s">
        <v>168</v>
      </c>
      <c r="I18" s="3" t="s">
        <v>169</v>
      </c>
      <c r="J18" s="3" t="s">
        <v>170</v>
      </c>
      <c r="K18" s="3" t="s">
        <v>171</v>
      </c>
      <c r="L18" s="3" t="s">
        <v>23</v>
      </c>
    </row>
    <row r="19" customFormat="false" ht="111.75" hidden="false" customHeight="true" outlineLevel="0" collapsed="false">
      <c r="A19" s="5" t="s">
        <v>172</v>
      </c>
      <c r="B19" s="6" t="s">
        <v>145</v>
      </c>
      <c r="C19" s="6" t="s">
        <v>173</v>
      </c>
      <c r="D19" s="6" t="s">
        <v>174</v>
      </c>
      <c r="E19" s="6" t="s">
        <v>175</v>
      </c>
      <c r="F19" s="6" t="s">
        <v>176</v>
      </c>
      <c r="G19" s="7" t="s">
        <v>55</v>
      </c>
      <c r="H19" s="6" t="s">
        <v>177</v>
      </c>
      <c r="I19" s="6" t="s">
        <v>178</v>
      </c>
      <c r="J19" s="6" t="s">
        <v>179</v>
      </c>
      <c r="K19" s="6" t="s">
        <v>180</v>
      </c>
      <c r="L19" s="6" t="s">
        <v>23</v>
      </c>
    </row>
    <row r="20" customFormat="false" ht="111.75" hidden="false" customHeight="true" outlineLevel="0" collapsed="false">
      <c r="A20" s="2" t="s">
        <v>181</v>
      </c>
      <c r="B20" s="3" t="s">
        <v>182</v>
      </c>
      <c r="C20" s="3" t="s">
        <v>183</v>
      </c>
      <c r="D20" s="3" t="s">
        <v>184</v>
      </c>
      <c r="E20" s="3" t="s">
        <v>185</v>
      </c>
      <c r="F20" s="3" t="s">
        <v>186</v>
      </c>
      <c r="G20" s="4" t="s">
        <v>18</v>
      </c>
      <c r="H20" s="3" t="s">
        <v>187</v>
      </c>
      <c r="I20" s="3" t="s">
        <v>188</v>
      </c>
      <c r="J20" s="3" t="s">
        <v>189</v>
      </c>
      <c r="K20" s="3" t="s">
        <v>190</v>
      </c>
      <c r="L20" s="3" t="s">
        <v>23</v>
      </c>
    </row>
    <row r="21" customFormat="false" ht="111.75" hidden="false" customHeight="true" outlineLevel="0" collapsed="false">
      <c r="A21" s="5" t="s">
        <v>191</v>
      </c>
      <c r="B21" s="6" t="s">
        <v>182</v>
      </c>
      <c r="C21" s="6" t="s">
        <v>192</v>
      </c>
      <c r="D21" s="6" t="s">
        <v>193</v>
      </c>
      <c r="E21" s="6" t="s">
        <v>194</v>
      </c>
      <c r="F21" s="6" t="s">
        <v>195</v>
      </c>
      <c r="G21" s="4" t="s">
        <v>18</v>
      </c>
      <c r="H21" s="6" t="s">
        <v>196</v>
      </c>
      <c r="I21" s="6" t="s">
        <v>197</v>
      </c>
      <c r="J21" s="6" t="s">
        <v>198</v>
      </c>
      <c r="K21" s="6" t="s">
        <v>199</v>
      </c>
      <c r="L21" s="6" t="s">
        <v>23</v>
      </c>
    </row>
    <row r="22" customFormat="false" ht="111.75" hidden="false" customHeight="true" outlineLevel="0" collapsed="false">
      <c r="A22" s="2" t="s">
        <v>200</v>
      </c>
      <c r="B22" s="3" t="s">
        <v>182</v>
      </c>
      <c r="C22" s="3" t="s">
        <v>201</v>
      </c>
      <c r="D22" s="3" t="s">
        <v>202</v>
      </c>
      <c r="E22" s="3" t="s">
        <v>203</v>
      </c>
      <c r="F22" s="3" t="s">
        <v>204</v>
      </c>
      <c r="G22" s="4" t="s">
        <v>18</v>
      </c>
      <c r="H22" s="3" t="s">
        <v>205</v>
      </c>
      <c r="I22" s="3" t="s">
        <v>206</v>
      </c>
      <c r="J22" s="3" t="s">
        <v>207</v>
      </c>
      <c r="K22" s="3" t="s">
        <v>208</v>
      </c>
      <c r="L22" s="3" t="s">
        <v>23</v>
      </c>
    </row>
    <row r="23" customFormat="false" ht="111.75" hidden="false" customHeight="true" outlineLevel="0" collapsed="false">
      <c r="A23" s="5" t="s">
        <v>209</v>
      </c>
      <c r="B23" s="6" t="s">
        <v>182</v>
      </c>
      <c r="C23" s="6" t="s">
        <v>210</v>
      </c>
      <c r="D23" s="6" t="s">
        <v>211</v>
      </c>
      <c r="E23" s="6" t="s">
        <v>212</v>
      </c>
      <c r="F23" s="6" t="s">
        <v>213</v>
      </c>
      <c r="G23" s="4" t="s">
        <v>18</v>
      </c>
      <c r="H23" s="6" t="s">
        <v>214</v>
      </c>
      <c r="I23" s="6" t="s">
        <v>215</v>
      </c>
      <c r="J23" s="6" t="s">
        <v>216</v>
      </c>
      <c r="K23" s="6" t="s">
        <v>217</v>
      </c>
      <c r="L23" s="6" t="s">
        <v>23</v>
      </c>
    </row>
    <row r="24" customFormat="false" ht="111.75" hidden="false" customHeight="true" outlineLevel="0" collapsed="false">
      <c r="A24" s="2" t="s">
        <v>218</v>
      </c>
      <c r="B24" s="3" t="s">
        <v>182</v>
      </c>
      <c r="C24" s="3" t="s">
        <v>219</v>
      </c>
      <c r="D24" s="3" t="s">
        <v>220</v>
      </c>
      <c r="E24" s="3" t="s">
        <v>221</v>
      </c>
      <c r="F24" s="3" t="s">
        <v>222</v>
      </c>
      <c r="G24" s="4" t="s">
        <v>18</v>
      </c>
      <c r="H24" s="3" t="s">
        <v>223</v>
      </c>
      <c r="I24" s="3" t="s">
        <v>224</v>
      </c>
      <c r="J24" s="3" t="s">
        <v>225</v>
      </c>
      <c r="K24" s="3" t="s">
        <v>226</v>
      </c>
      <c r="L24" s="3" t="s">
        <v>23</v>
      </c>
    </row>
    <row r="25" customFormat="false" ht="111.75" hidden="false" customHeight="true" outlineLevel="0" collapsed="false">
      <c r="A25" s="5" t="s">
        <v>227</v>
      </c>
      <c r="B25" s="6" t="s">
        <v>182</v>
      </c>
      <c r="C25" s="6" t="s">
        <v>228</v>
      </c>
      <c r="D25" s="6" t="s">
        <v>229</v>
      </c>
      <c r="E25" s="6" t="s">
        <v>230</v>
      </c>
      <c r="F25" s="6" t="s">
        <v>231</v>
      </c>
      <c r="G25" s="4" t="s">
        <v>18</v>
      </c>
      <c r="H25" s="6" t="s">
        <v>232</v>
      </c>
      <c r="I25" s="6" t="s">
        <v>233</v>
      </c>
      <c r="J25" s="6" t="s">
        <v>234</v>
      </c>
      <c r="K25" s="6" t="s">
        <v>235</v>
      </c>
      <c r="L25" s="6" t="s">
        <v>87</v>
      </c>
    </row>
    <row r="26" customFormat="false" ht="111.75" hidden="false" customHeight="true" outlineLevel="0" collapsed="false">
      <c r="A26" s="2" t="s">
        <v>236</v>
      </c>
      <c r="B26" s="3" t="s">
        <v>237</v>
      </c>
      <c r="C26" s="3" t="s">
        <v>238</v>
      </c>
      <c r="D26" s="3" t="s">
        <v>239</v>
      </c>
      <c r="E26" s="3" t="s">
        <v>240</v>
      </c>
      <c r="F26" s="3" t="s">
        <v>241</v>
      </c>
      <c r="G26" s="4" t="s">
        <v>18</v>
      </c>
      <c r="H26" s="3" t="s">
        <v>242</v>
      </c>
      <c r="I26" s="3" t="s">
        <v>243</v>
      </c>
      <c r="J26" s="3" t="s">
        <v>244</v>
      </c>
      <c r="K26" s="3" t="s">
        <v>245</v>
      </c>
      <c r="L26" s="3" t="s">
        <v>23</v>
      </c>
    </row>
    <row r="27" customFormat="false" ht="111.75" hidden="false" customHeight="true" outlineLevel="0" collapsed="false">
      <c r="A27" s="5" t="s">
        <v>246</v>
      </c>
      <c r="B27" s="6" t="s">
        <v>237</v>
      </c>
      <c r="C27" s="6" t="s">
        <v>247</v>
      </c>
      <c r="D27" s="6" t="s">
        <v>248</v>
      </c>
      <c r="E27" s="6" t="s">
        <v>249</v>
      </c>
      <c r="F27" s="6" t="s">
        <v>250</v>
      </c>
      <c r="G27" s="4" t="s">
        <v>18</v>
      </c>
      <c r="H27" s="6" t="s">
        <v>251</v>
      </c>
      <c r="I27" s="6" t="s">
        <v>252</v>
      </c>
      <c r="J27" s="6" t="s">
        <v>253</v>
      </c>
      <c r="K27" s="6" t="s">
        <v>254</v>
      </c>
      <c r="L27" s="6" t="s">
        <v>23</v>
      </c>
    </row>
    <row r="28" customFormat="false" ht="111.75" hidden="false" customHeight="true" outlineLevel="0" collapsed="false">
      <c r="A28" s="2" t="s">
        <v>255</v>
      </c>
      <c r="B28" s="3" t="s">
        <v>256</v>
      </c>
      <c r="C28" s="3" t="s">
        <v>257</v>
      </c>
      <c r="D28" s="3" t="s">
        <v>258</v>
      </c>
      <c r="E28" s="3" t="s">
        <v>259</v>
      </c>
      <c r="F28" s="3" t="s">
        <v>260</v>
      </c>
      <c r="G28" s="4" t="s">
        <v>18</v>
      </c>
      <c r="H28" s="3" t="s">
        <v>261</v>
      </c>
      <c r="I28" s="3" t="s">
        <v>262</v>
      </c>
      <c r="J28" s="3" t="s">
        <v>263</v>
      </c>
      <c r="K28" s="3" t="s">
        <v>264</v>
      </c>
      <c r="L28" s="3" t="s">
        <v>23</v>
      </c>
    </row>
    <row r="29" customFormat="false" ht="111.75" hidden="false" customHeight="true" outlineLevel="0" collapsed="false">
      <c r="A29" s="5" t="s">
        <v>265</v>
      </c>
      <c r="B29" s="6" t="s">
        <v>256</v>
      </c>
      <c r="C29" s="6" t="s">
        <v>266</v>
      </c>
      <c r="D29" s="6" t="s">
        <v>267</v>
      </c>
      <c r="E29" s="6" t="s">
        <v>268</v>
      </c>
      <c r="F29" s="6" t="s">
        <v>269</v>
      </c>
      <c r="G29" s="4" t="s">
        <v>18</v>
      </c>
      <c r="H29" s="6" t="s">
        <v>270</v>
      </c>
      <c r="I29" s="6" t="s">
        <v>271</v>
      </c>
      <c r="J29" s="6" t="s">
        <v>272</v>
      </c>
      <c r="K29" s="6" t="s">
        <v>273</v>
      </c>
      <c r="L29" s="6" t="s">
        <v>23</v>
      </c>
    </row>
    <row r="30" customFormat="false" ht="111.75" hidden="false" customHeight="true" outlineLevel="0" collapsed="false">
      <c r="A30" s="2" t="s">
        <v>274</v>
      </c>
      <c r="B30" s="3" t="s">
        <v>256</v>
      </c>
      <c r="C30" s="3" t="s">
        <v>275</v>
      </c>
      <c r="D30" s="3" t="s">
        <v>276</v>
      </c>
      <c r="E30" s="3" t="s">
        <v>277</v>
      </c>
      <c r="F30" s="3" t="s">
        <v>278</v>
      </c>
      <c r="G30" s="4" t="s">
        <v>18</v>
      </c>
      <c r="H30" s="3" t="s">
        <v>279</v>
      </c>
      <c r="I30" s="3" t="s">
        <v>280</v>
      </c>
      <c r="J30" s="3" t="s">
        <v>281</v>
      </c>
      <c r="K30" s="3" t="s">
        <v>282</v>
      </c>
      <c r="L30" s="3" t="s">
        <v>87</v>
      </c>
    </row>
    <row r="31" customFormat="false" ht="111.75" hidden="false" customHeight="true" outlineLevel="0" collapsed="false">
      <c r="A31" s="5" t="s">
        <v>283</v>
      </c>
      <c r="B31" s="6" t="s">
        <v>256</v>
      </c>
      <c r="C31" s="6" t="s">
        <v>284</v>
      </c>
      <c r="D31" s="6" t="s">
        <v>285</v>
      </c>
      <c r="E31" s="6" t="s">
        <v>286</v>
      </c>
      <c r="F31" s="6" t="s">
        <v>287</v>
      </c>
      <c r="G31" s="4" t="s">
        <v>18</v>
      </c>
      <c r="H31" s="6" t="s">
        <v>288</v>
      </c>
      <c r="I31" s="6" t="s">
        <v>289</v>
      </c>
      <c r="J31" s="6" t="s">
        <v>290</v>
      </c>
      <c r="K31" s="6" t="s">
        <v>291</v>
      </c>
      <c r="L31" s="6" t="s">
        <v>87</v>
      </c>
    </row>
    <row r="32" customFormat="false" ht="111.75" hidden="false" customHeight="true" outlineLevel="0" collapsed="false">
      <c r="A32" s="2" t="s">
        <v>292</v>
      </c>
      <c r="B32" s="3" t="s">
        <v>256</v>
      </c>
      <c r="C32" s="3" t="s">
        <v>293</v>
      </c>
      <c r="D32" s="3" t="s">
        <v>294</v>
      </c>
      <c r="E32" s="3" t="s">
        <v>295</v>
      </c>
      <c r="F32" s="3" t="s">
        <v>296</v>
      </c>
      <c r="G32" s="7" t="s">
        <v>55</v>
      </c>
      <c r="H32" s="3" t="s">
        <v>297</v>
      </c>
      <c r="I32" s="3" t="s">
        <v>298</v>
      </c>
      <c r="J32" s="3" t="s">
        <v>299</v>
      </c>
      <c r="K32" s="3" t="s">
        <v>300</v>
      </c>
      <c r="L32" s="3" t="s">
        <v>23</v>
      </c>
    </row>
    <row r="33" customFormat="false" ht="111.75" hidden="false" customHeight="true" outlineLevel="0" collapsed="false">
      <c r="A33" s="5" t="s">
        <v>301</v>
      </c>
      <c r="B33" s="6" t="s">
        <v>256</v>
      </c>
      <c r="C33" s="6" t="s">
        <v>302</v>
      </c>
      <c r="D33" s="6" t="s">
        <v>303</v>
      </c>
      <c r="E33" s="6" t="s">
        <v>304</v>
      </c>
      <c r="F33" s="6" t="s">
        <v>305</v>
      </c>
      <c r="G33" s="7" t="s">
        <v>55</v>
      </c>
      <c r="H33" s="6" t="s">
        <v>306</v>
      </c>
      <c r="I33" s="6" t="s">
        <v>307</v>
      </c>
      <c r="J33" s="6" t="s">
        <v>308</v>
      </c>
      <c r="K33" s="6" t="s">
        <v>309</v>
      </c>
      <c r="L33" s="6" t="s">
        <v>87</v>
      </c>
    </row>
    <row r="34" customFormat="false" ht="111.75" hidden="false" customHeight="true" outlineLevel="0" collapsed="false">
      <c r="A34" s="2" t="s">
        <v>310</v>
      </c>
      <c r="B34" s="3" t="s">
        <v>256</v>
      </c>
      <c r="C34" s="3" t="s">
        <v>311</v>
      </c>
      <c r="D34" s="3" t="s">
        <v>312</v>
      </c>
      <c r="E34" s="3" t="s">
        <v>313</v>
      </c>
      <c r="F34" s="3" t="s">
        <v>314</v>
      </c>
      <c r="G34" s="7" t="s">
        <v>55</v>
      </c>
      <c r="H34" s="3" t="s">
        <v>315</v>
      </c>
      <c r="I34" s="3" t="s">
        <v>316</v>
      </c>
      <c r="J34" s="3" t="s">
        <v>308</v>
      </c>
      <c r="K34" s="3" t="s">
        <v>317</v>
      </c>
      <c r="L34" s="3" t="s">
        <v>87</v>
      </c>
    </row>
    <row r="35" customFormat="false" ht="111.75" hidden="false" customHeight="true" outlineLevel="0" collapsed="false">
      <c r="A35" s="5" t="s">
        <v>318</v>
      </c>
      <c r="B35" s="6" t="s">
        <v>256</v>
      </c>
      <c r="C35" s="6" t="s">
        <v>319</v>
      </c>
      <c r="D35" s="6" t="s">
        <v>320</v>
      </c>
      <c r="E35" s="6" t="s">
        <v>321</v>
      </c>
      <c r="F35" s="6" t="s">
        <v>322</v>
      </c>
      <c r="G35" s="7" t="s">
        <v>55</v>
      </c>
      <c r="H35" s="6" t="s">
        <v>323</v>
      </c>
      <c r="I35" s="6" t="s">
        <v>324</v>
      </c>
      <c r="J35" s="6" t="s">
        <v>308</v>
      </c>
      <c r="K35" s="6" t="s">
        <v>325</v>
      </c>
      <c r="L35" s="6" t="s">
        <v>87</v>
      </c>
    </row>
    <row r="36" customFormat="false" ht="111.75" hidden="false" customHeight="true" outlineLevel="0" collapsed="false">
      <c r="A36" s="2" t="s">
        <v>326</v>
      </c>
      <c r="B36" s="3" t="s">
        <v>256</v>
      </c>
      <c r="C36" s="3" t="s">
        <v>327</v>
      </c>
      <c r="D36" s="3" t="s">
        <v>328</v>
      </c>
      <c r="E36" s="3" t="s">
        <v>329</v>
      </c>
      <c r="F36" s="3" t="s">
        <v>330</v>
      </c>
      <c r="G36" s="7" t="s">
        <v>55</v>
      </c>
      <c r="H36" s="3" t="s">
        <v>331</v>
      </c>
      <c r="I36" s="3" t="s">
        <v>332</v>
      </c>
      <c r="J36" s="3" t="s">
        <v>333</v>
      </c>
      <c r="K36" s="3" t="s">
        <v>334</v>
      </c>
      <c r="L36" s="3" t="s">
        <v>87</v>
      </c>
    </row>
    <row r="37" customFormat="false" ht="111.75" hidden="false" customHeight="true" outlineLevel="0" collapsed="false">
      <c r="A37" s="5" t="s">
        <v>335</v>
      </c>
      <c r="B37" s="6" t="s">
        <v>256</v>
      </c>
      <c r="C37" s="6" t="s">
        <v>336</v>
      </c>
      <c r="D37" s="6" t="s">
        <v>337</v>
      </c>
      <c r="E37" s="6" t="s">
        <v>338</v>
      </c>
      <c r="F37" s="6" t="s">
        <v>339</v>
      </c>
      <c r="G37" s="7" t="s">
        <v>55</v>
      </c>
      <c r="H37" s="6" t="s">
        <v>340</v>
      </c>
      <c r="I37" s="6" t="s">
        <v>341</v>
      </c>
      <c r="J37" s="6" t="s">
        <v>308</v>
      </c>
      <c r="K37" s="6" t="s">
        <v>334</v>
      </c>
      <c r="L37" s="6" t="s">
        <v>87</v>
      </c>
    </row>
  </sheetData>
  <autoFilter ref="A1:L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0"/>
    <col collapsed="false" customWidth="true" hidden="false" outlineLevel="0" max="3" min="3" style="0" width="12"/>
    <col collapsed="false" customWidth="true" hidden="false" outlineLevel="0" max="4" min="4" style="0" width="10"/>
    <col collapsed="false" customWidth="true" hidden="false" outlineLevel="0" max="5" min="5" style="0" width="12"/>
  </cols>
  <sheetData>
    <row r="1" customFormat="false" ht="16.15" hidden="false" customHeight="false" outlineLevel="0" collapsed="false">
      <c r="A1" s="9" t="s">
        <v>342</v>
      </c>
    </row>
    <row r="2" customFormat="false" ht="30" hidden="false" customHeight="true" outlineLevel="0" collapsed="false">
      <c r="A2" s="10" t="s">
        <v>343</v>
      </c>
      <c r="B2" s="10"/>
      <c r="C2" s="10"/>
      <c r="D2" s="10"/>
    </row>
    <row r="4" customFormat="false" ht="15" hidden="false" customHeight="false" outlineLevel="0" collapsed="false">
      <c r="A4" s="11" t="s">
        <v>6</v>
      </c>
      <c r="B4" s="11" t="s">
        <v>344</v>
      </c>
      <c r="C4" s="11" t="s">
        <v>345</v>
      </c>
      <c r="D4" s="11" t="s">
        <v>346</v>
      </c>
    </row>
    <row r="5" customFormat="false" ht="39.75" hidden="false" customHeight="true" outlineLevel="0" collapsed="false">
      <c r="A5" s="12" t="s">
        <v>18</v>
      </c>
      <c r="B5" s="13" t="n">
        <f aca="false">COUNTIF(Hypotheses!$G$2:$G$37,A5)</f>
        <v>20</v>
      </c>
      <c r="C5" s="14" t="n">
        <f aca="false">B5/$B$8</f>
        <v>0.555555555555556</v>
      </c>
      <c r="D5" s="6" t="s">
        <v>347</v>
      </c>
    </row>
    <row r="6" customFormat="false" ht="39.75" hidden="false" customHeight="true" outlineLevel="0" collapsed="false">
      <c r="A6" s="15" t="s">
        <v>121</v>
      </c>
      <c r="B6" s="13" t="n">
        <f aca="false">COUNTIF(Hypotheses!$G$2:$G$37,A6)</f>
        <v>3</v>
      </c>
      <c r="C6" s="14" t="n">
        <f aca="false">B6/$B$8</f>
        <v>0.0833333333333333</v>
      </c>
      <c r="D6" s="6" t="s">
        <v>348</v>
      </c>
    </row>
    <row r="7" customFormat="false" ht="39.75" hidden="false" customHeight="true" outlineLevel="0" collapsed="false">
      <c r="A7" s="16" t="s">
        <v>55</v>
      </c>
      <c r="B7" s="13" t="n">
        <f aca="false">COUNTIF(Hypotheses!$G$2:$G$37,A7)</f>
        <v>13</v>
      </c>
      <c r="C7" s="14" t="n">
        <f aca="false">B7/$B$8</f>
        <v>0.361111111111111</v>
      </c>
      <c r="D7" s="6" t="s">
        <v>349</v>
      </c>
    </row>
    <row r="8" customFormat="false" ht="15" hidden="false" customHeight="false" outlineLevel="0" collapsed="false">
      <c r="A8" s="17" t="s">
        <v>350</v>
      </c>
      <c r="B8" s="17" t="n">
        <f aca="false">SUM(B5:B7)</f>
        <v>36</v>
      </c>
      <c r="C8" s="18" t="n">
        <f aca="false">B8/$B$8</f>
        <v>1</v>
      </c>
      <c r="D8" s="19"/>
    </row>
    <row r="10" customFormat="false" ht="15" hidden="false" customHeight="false" outlineLevel="0" collapsed="false">
      <c r="A10" s="20" t="s">
        <v>351</v>
      </c>
    </row>
    <row r="11" customFormat="false" ht="15" hidden="false" customHeight="false" outlineLevel="0" collapsed="false">
      <c r="A11" s="11" t="s">
        <v>1</v>
      </c>
      <c r="B11" s="11" t="s">
        <v>352</v>
      </c>
      <c r="C11" s="11" t="s">
        <v>353</v>
      </c>
      <c r="D11" s="11" t="s">
        <v>354</v>
      </c>
      <c r="E11" s="11" t="s">
        <v>355</v>
      </c>
    </row>
    <row r="12" customFormat="false" ht="15" hidden="false" customHeight="false" outlineLevel="0" collapsed="false">
      <c r="A12" s="21" t="s">
        <v>13</v>
      </c>
      <c r="B12" s="21" t="n">
        <f aca="false">COUNTIF(Hypotheses!$B$2:$B$37,$A12)</f>
        <v>8</v>
      </c>
      <c r="C12" s="21" t="n">
        <f aca="false">COUNTIFS(Hypotheses!$B$2:$B$37,$A12,Hypotheses!$G$2:$G$37,"SUPPORTED")</f>
        <v>4</v>
      </c>
      <c r="D12" s="21" t="n">
        <f aca="false">COUNTIFS(Hypotheses!$B$2:$B$37,$A12,Hypotheses!$G$2:$G$37,"WEAK")</f>
        <v>0</v>
      </c>
      <c r="E12" s="21" t="n">
        <f aca="false">COUNTIFS(Hypotheses!$B$2:$B$37,$A12,Hypotheses!$G$2:$G$37,"DISCARD")</f>
        <v>4</v>
      </c>
    </row>
    <row r="13" customFormat="false" ht="15" hidden="false" customHeight="false" outlineLevel="0" collapsed="false">
      <c r="A13" s="21" t="s">
        <v>89</v>
      </c>
      <c r="B13" s="21" t="n">
        <f aca="false">COUNTIF(Hypotheses!$B$2:$B$37,$A13)</f>
        <v>6</v>
      </c>
      <c r="C13" s="21" t="n">
        <f aca="false">COUNTIFS(Hypotheses!$B$2:$B$37,$A13,Hypotheses!$G$2:$G$37,"SUPPORTED")</f>
        <v>3</v>
      </c>
      <c r="D13" s="21" t="n">
        <f aca="false">COUNTIFS(Hypotheses!$B$2:$B$37,$A13,Hypotheses!$G$2:$G$37,"WEAK")</f>
        <v>2</v>
      </c>
      <c r="E13" s="21" t="n">
        <f aca="false">COUNTIFS(Hypotheses!$B$2:$B$37,$A13,Hypotheses!$G$2:$G$37,"DISCARD")</f>
        <v>1</v>
      </c>
    </row>
    <row r="14" customFormat="false" ht="15" hidden="false" customHeight="false" outlineLevel="0" collapsed="false">
      <c r="A14" s="21" t="s">
        <v>145</v>
      </c>
      <c r="B14" s="21" t="n">
        <f aca="false">COUNTIF(Hypotheses!$B$2:$B$37,$A14)</f>
        <v>4</v>
      </c>
      <c r="C14" s="21" t="n">
        <f aca="false">COUNTIFS(Hypotheses!$B$2:$B$37,$A14,Hypotheses!$G$2:$G$37,"SUPPORTED")</f>
        <v>1</v>
      </c>
      <c r="D14" s="21" t="n">
        <f aca="false">COUNTIFS(Hypotheses!$B$2:$B$37,$A14,Hypotheses!$G$2:$G$37,"WEAK")</f>
        <v>1</v>
      </c>
      <c r="E14" s="21" t="n">
        <f aca="false">COUNTIFS(Hypotheses!$B$2:$B$37,$A14,Hypotheses!$G$2:$G$37,"DISCARD")</f>
        <v>2</v>
      </c>
    </row>
    <row r="15" customFormat="false" ht="15" hidden="false" customHeight="false" outlineLevel="0" collapsed="false">
      <c r="A15" s="21" t="s">
        <v>182</v>
      </c>
      <c r="B15" s="21" t="n">
        <f aca="false">COUNTIF(Hypotheses!$B$2:$B$37,$A15)</f>
        <v>6</v>
      </c>
      <c r="C15" s="21" t="n">
        <f aca="false">COUNTIFS(Hypotheses!$B$2:$B$37,$A15,Hypotheses!$G$2:$G$37,"SUPPORTED")</f>
        <v>6</v>
      </c>
      <c r="D15" s="21" t="n">
        <f aca="false">COUNTIFS(Hypotheses!$B$2:$B$37,$A15,Hypotheses!$G$2:$G$37,"WEAK")</f>
        <v>0</v>
      </c>
      <c r="E15" s="21" t="n">
        <f aca="false">COUNTIFS(Hypotheses!$B$2:$B$37,$A15,Hypotheses!$G$2:$G$37,"DISCARD")</f>
        <v>0</v>
      </c>
    </row>
    <row r="16" customFormat="false" ht="15" hidden="false" customHeight="false" outlineLevel="0" collapsed="false">
      <c r="A16" s="21" t="s">
        <v>237</v>
      </c>
      <c r="B16" s="21" t="n">
        <f aca="false">COUNTIF(Hypotheses!$B$2:$B$37,$A16)</f>
        <v>2</v>
      </c>
      <c r="C16" s="21" t="n">
        <f aca="false">COUNTIFS(Hypotheses!$B$2:$B$37,$A16,Hypotheses!$G$2:$G$37,"SUPPORTED")</f>
        <v>2</v>
      </c>
      <c r="D16" s="21" t="n">
        <f aca="false">COUNTIFS(Hypotheses!$B$2:$B$37,$A16,Hypotheses!$G$2:$G$37,"WEAK")</f>
        <v>0</v>
      </c>
      <c r="E16" s="21" t="n">
        <f aca="false">COUNTIFS(Hypotheses!$B$2:$B$37,$A16,Hypotheses!$G$2:$G$37,"DISCARD")</f>
        <v>0</v>
      </c>
    </row>
    <row r="17" customFormat="false" ht="15" hidden="false" customHeight="false" outlineLevel="0" collapsed="false">
      <c r="A17" s="21" t="s">
        <v>256</v>
      </c>
      <c r="B17" s="21" t="n">
        <f aca="false">COUNTIF(Hypotheses!$B$2:$B$37,$A17)</f>
        <v>10</v>
      </c>
      <c r="C17" s="21" t="n">
        <f aca="false">COUNTIFS(Hypotheses!$B$2:$B$37,$A17,Hypotheses!$G$2:$G$37,"SUPPORTED")</f>
        <v>4</v>
      </c>
      <c r="D17" s="21" t="n">
        <f aca="false">COUNTIFS(Hypotheses!$B$2:$B$37,$A17,Hypotheses!$G$2:$G$37,"WEAK")</f>
        <v>0</v>
      </c>
      <c r="E17" s="21" t="n">
        <f aca="false">COUNTIFS(Hypotheses!$B$2:$B$37,$A17,Hypotheses!$G$2:$G$37,"DISCARD")</f>
        <v>6</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08"/>
  </cols>
  <sheetData>
    <row r="1" customFormat="false" ht="16.15" hidden="false" customHeight="false" outlineLevel="0" collapsed="false">
      <c r="A1" s="9" t="s">
        <v>356</v>
      </c>
    </row>
    <row r="3" customFormat="false" ht="61.5" hidden="false" customHeight="true" outlineLevel="0" collapsed="false">
      <c r="A3" s="22" t="s">
        <v>357</v>
      </c>
      <c r="B3" s="23" t="s">
        <v>358</v>
      </c>
    </row>
    <row r="4" customFormat="false" ht="61.5" hidden="false" customHeight="true" outlineLevel="0" collapsed="false">
      <c r="A4" s="22" t="s">
        <v>359</v>
      </c>
      <c r="B4" s="23" t="s">
        <v>360</v>
      </c>
    </row>
    <row r="5" customFormat="false" ht="61.5" hidden="false" customHeight="true" outlineLevel="0" collapsed="false">
      <c r="A5" s="22" t="s">
        <v>361</v>
      </c>
      <c r="B5" s="23" t="s">
        <v>362</v>
      </c>
    </row>
    <row r="6" customFormat="false" ht="61.5" hidden="false" customHeight="true" outlineLevel="0" collapsed="false">
      <c r="A6" s="22" t="s">
        <v>363</v>
      </c>
      <c r="B6" s="23" t="s">
        <v>364</v>
      </c>
    </row>
    <row r="7" customFormat="false" ht="61.5" hidden="false" customHeight="true" outlineLevel="0" collapsed="false">
      <c r="A7" s="22" t="s">
        <v>365</v>
      </c>
      <c r="B7" s="23" t="s">
        <v>366</v>
      </c>
    </row>
    <row r="8" customFormat="false" ht="61.5" hidden="false" customHeight="true" outlineLevel="0" collapsed="false">
      <c r="A8" s="22" t="s">
        <v>367</v>
      </c>
      <c r="B8" s="23" t="s">
        <v>368</v>
      </c>
    </row>
    <row r="9" customFormat="false" ht="61.5" hidden="false" customHeight="true" outlineLevel="0" collapsed="false">
      <c r="A9" s="22" t="s">
        <v>369</v>
      </c>
      <c r="B9" s="23" t="s">
        <v>370</v>
      </c>
    </row>
    <row r="10" customFormat="false" ht="61.5" hidden="false" customHeight="true" outlineLevel="0" collapsed="false">
      <c r="A10" s="22" t="s">
        <v>371</v>
      </c>
      <c r="B10" s="23" t="s">
        <v>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2026-08-01T10:21:20Z</dcterms:created>
  <dc:creator>openpyxl</dc:creator>
  <dc:description/>
  <dc:language>en-US</dc:language>
  <cp:lastModifiedBy/>
  <dcterms:modified xsi:type="dcterms:W3CDTF">2026-08-01T10:21:20Z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